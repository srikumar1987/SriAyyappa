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Lots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Overhead" sheetId="6" state="visible" r:id="rId6"/>
    <sheet xmlns:r="http://schemas.openxmlformats.org/officeDocument/2006/relationships" name="Quotes" sheetId="7" state="visible" r:id="rId7"/>
    <sheet xmlns:r="http://schemas.openxmlformats.org/officeDocument/2006/relationships" name="Sto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41E3A"/>
      <sz val="14"/>
    </font>
  </fonts>
  <fills count="3">
    <fill>
      <patternFill/>
    </fill>
    <fill>
      <patternFill patternType="gray125"/>
    </fill>
    <fill>
      <patternFill patternType="solid">
        <fgColor rgb="00FF9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Ayyappa Pooja Store - Data Workbook</t>
        </is>
      </c>
    </row>
    <row r="2">
      <c r="A2" t="inlineStr"/>
    </row>
    <row r="3">
      <c r="A3" t="inlineStr">
        <is>
          <t>Products: product list (names in 6 languages). Add a row for each new product.</t>
        </is>
      </c>
    </row>
    <row r="4">
      <c r="A4" t="inlineStr">
        <is>
          <t>Lots: one row per stock arrival. Lot_Expenses_Total and stock columns fill themselves in.</t>
        </is>
      </c>
    </row>
    <row r="5">
      <c r="A5" t="inlineStr">
        <is>
          <t>Expenses: extra costs for a lot (transport, packing...). Use the same Lot_ID as the Lots row.</t>
        </is>
      </c>
    </row>
    <row r="6">
      <c r="A6" t="inlineStr">
        <is>
          <t>Sales: one row per FIFO slice of a sale. The website writes these rows; do not type sales here.</t>
        </is>
      </c>
    </row>
    <row r="7">
      <c r="A7" t="inlineStr">
        <is>
          <t>Overhead: monthly running costs. Month is YYYY-MM.</t>
        </is>
      </c>
    </row>
    <row r="8">
      <c r="A8" t="inlineStr">
        <is>
          <t>Quotes: quotations made on the website. Change Status as they progress.</t>
        </is>
      </c>
    </row>
    <row r="9">
      <c r="A9" t="inlineStr">
        <is>
          <t>Stock: automatic. Do not type here.</t>
        </is>
      </c>
    </row>
    <row r="10">
      <c r="A10" t="inlineStr"/>
    </row>
    <row r="11">
      <c r="A11" t="inlineStr">
        <is>
          <t>Keep sheet names and column headings exactly as they are.</t>
        </is>
      </c>
    </row>
    <row r="12">
      <c r="A12" t="inlineStr"/>
    </row>
    <row r="13">
      <c r="A13" t="inlineStr">
        <is>
          <t>ഉൽപ്പന്നങ്ങൾ: ഓരോ പുതിയ ഉൽപ്പന്നത്തിനും ഒരു വരി ചേർക്കുക.</t>
        </is>
      </c>
    </row>
    <row r="14">
      <c r="A14" t="inlineStr">
        <is>
          <t>ലോട്ടുകൾ: പുതിയ സ്റ്റോക്ക് വരുമ്പോൾ ഒരു വരി ചേർക്കുക.</t>
        </is>
      </c>
    </row>
    <row r="15">
      <c r="A15" t="inlineStr">
        <is>
          <t>ചെലവുകൾ: ലോട്ടിനുള്ള അധിക ചെലവുകൾ. അതേ Lot_ID ഉപയോഗിക്കുക.</t>
        </is>
      </c>
    </row>
    <row r="16">
      <c r="A16" t="inlineStr">
        <is>
          <t>സ്റ്റോക്ക്: ബാക്കിയുള്ളവയുടെ പട്ടിക. ഇതിൽ ഒന്നും ടൈപ്പ് ചെയ്യേണ്ടതില്ല.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6" customWidth="1" min="4" max="4"/>
    <col width="26" customWidth="1" min="5" max="5"/>
    <col width="26" customWidth="1" min="6" max="6"/>
    <col width="24" customWidth="1" min="7" max="7"/>
    <col width="18" customWidth="1" min="8" max="8"/>
    <col width="20" customWidth="1" min="9" max="9"/>
    <col width="20" customWidth="1" min="10" max="10"/>
  </cols>
  <sheetData>
    <row r="1">
      <c r="A1" s="2" t="inlineStr">
        <is>
          <t>Product_ID</t>
        </is>
      </c>
      <c r="B1" s="2" t="inlineStr">
        <is>
          <t>Name_Malayalam</t>
        </is>
      </c>
      <c r="C1" s="2" t="inlineStr">
        <is>
          <t>Name_English</t>
        </is>
      </c>
      <c r="D1" s="2" t="inlineStr">
        <is>
          <t>Name_Tamil</t>
        </is>
      </c>
      <c r="E1" s="2" t="inlineStr">
        <is>
          <t>Name_Kannada</t>
        </is>
      </c>
      <c r="F1" s="2" t="inlineStr">
        <is>
          <t>Name_Telugu</t>
        </is>
      </c>
      <c r="G1" s="2" t="inlineStr">
        <is>
          <t>Name_Hindi</t>
        </is>
      </c>
      <c r="H1" s="2" t="inlineStr">
        <is>
          <t>Category</t>
        </is>
      </c>
      <c r="I1" s="2" t="inlineStr">
        <is>
          <t>Default_Selling_Price</t>
        </is>
      </c>
      <c r="J1" s="2" t="inlineStr">
        <is>
          <t>Image_Folder</t>
        </is>
      </c>
    </row>
    <row r="2">
      <c r="A2" t="inlineStr">
        <is>
          <t>P001</t>
        </is>
      </c>
      <c r="B2" t="inlineStr">
        <is>
          <t>പിത്തള വിളക്ക്</t>
        </is>
      </c>
      <c r="C2" t="inlineStr">
        <is>
          <t>Brass Lamp</t>
        </is>
      </c>
      <c r="D2" t="inlineStr">
        <is>
          <t>பித்தளை விளக்கு</t>
        </is>
      </c>
      <c r="E2" t="inlineStr">
        <is>
          <t>ಹಿತ್ತಾಳೆ ದೀಪ</t>
        </is>
      </c>
      <c r="F2" t="inlineStr">
        <is>
          <t>ఇత్తడి దీపం</t>
        </is>
      </c>
      <c r="G2" t="inlineStr">
        <is>
          <t>पीतल का दीया</t>
        </is>
      </c>
      <c r="H2" t="inlineStr">
        <is>
          <t>Pooja Items</t>
        </is>
      </c>
      <c r="I2" t="n">
        <v>200</v>
      </c>
      <c r="J2" t="inlineStr">
        <is>
          <t>P001_Brass_Lamp</t>
        </is>
      </c>
    </row>
    <row r="3">
      <c r="A3" t="inlineStr">
        <is>
          <t>P002</t>
        </is>
      </c>
      <c r="B3" t="inlineStr">
        <is>
          <t>അഗർബത്തി</t>
        </is>
      </c>
      <c r="C3" t="inlineStr">
        <is>
          <t>Agarbatti</t>
        </is>
      </c>
      <c r="D3" t="inlineStr">
        <is>
          <t>அகர்பத்தி</t>
        </is>
      </c>
      <c r="E3" t="inlineStr">
        <is>
          <t>ಅಗರ್ಬತ್ತಿ</t>
        </is>
      </c>
      <c r="F3" t="inlineStr">
        <is>
          <t>అగరబత్తి</t>
        </is>
      </c>
      <c r="G3" t="inlineStr">
        <is>
          <t>अगरबत्ती</t>
        </is>
      </c>
      <c r="H3" t="inlineStr">
        <is>
          <t>Incense</t>
        </is>
      </c>
      <c r="I3" t="n">
        <v>15</v>
      </c>
      <c r="J3" t="inlineStr">
        <is>
          <t>P002_Agarbatti</t>
        </is>
      </c>
    </row>
    <row r="4">
      <c r="A4" t="inlineStr">
        <is>
          <t>P003</t>
        </is>
      </c>
      <c r="B4" t="inlineStr">
        <is>
          <t>പൂജാ താലം</t>
        </is>
      </c>
      <c r="C4" t="inlineStr">
        <is>
          <t>Pooja Thali</t>
        </is>
      </c>
      <c r="D4" t="inlineStr">
        <is>
          <t>பூஜை தட்டு</t>
        </is>
      </c>
      <c r="E4" t="inlineStr">
        <is>
          <t>ಪೂಜಾ ತಟ್ಟೆ</t>
        </is>
      </c>
      <c r="F4" t="inlineStr">
        <is>
          <t>పూజా తాళం</t>
        </is>
      </c>
      <c r="G4" t="inlineStr">
        <is>
          <t>पूजा थाली</t>
        </is>
      </c>
      <c r="H4" t="inlineStr">
        <is>
          <t>Pooja Items</t>
        </is>
      </c>
      <c r="I4" t="n">
        <v>250</v>
      </c>
      <c r="J4" t="inlineStr">
        <is>
          <t>P003_Pooja_Thali</t>
        </is>
      </c>
    </row>
    <row r="5">
      <c r="A5" t="inlineStr">
        <is>
          <t>P004</t>
        </is>
      </c>
      <c r="B5" t="inlineStr">
        <is>
          <t>കുങ്കുമം</t>
        </is>
      </c>
      <c r="C5" t="inlineStr">
        <is>
          <t>Kumkum</t>
        </is>
      </c>
      <c r="D5" t="inlineStr">
        <is>
          <t>குங்குமம்</t>
        </is>
      </c>
      <c r="E5" t="inlineStr">
        <is>
          <t>ಕುಂಕುಮ</t>
        </is>
      </c>
      <c r="F5" t="inlineStr">
        <is>
          <t>కుంకుమ</t>
        </is>
      </c>
      <c r="G5" t="inlineStr">
        <is>
          <t>कुंकुम</t>
        </is>
      </c>
      <c r="H5" t="inlineStr">
        <is>
          <t>Pooja Items</t>
        </is>
      </c>
      <c r="I5" t="n">
        <v>30</v>
      </c>
      <c r="J5" t="inlineStr">
        <is>
          <t>P004_Kumkum</t>
        </is>
      </c>
    </row>
    <row r="6">
      <c r="A6" t="inlineStr">
        <is>
          <t>P005</t>
        </is>
      </c>
      <c r="B6" t="inlineStr">
        <is>
          <t>കർപ്പൂരം</t>
        </is>
      </c>
      <c r="C6" t="inlineStr">
        <is>
          <t>Camphor</t>
        </is>
      </c>
      <c r="D6" t="inlineStr">
        <is>
          <t>கற்பூரம்</t>
        </is>
      </c>
      <c r="E6" t="inlineStr">
        <is>
          <t>ಕರ್ಪೂರ</t>
        </is>
      </c>
      <c r="F6" t="inlineStr">
        <is>
          <t>కర్పూరం</t>
        </is>
      </c>
      <c r="G6" t="inlineStr">
        <is>
          <t>कपूर</t>
        </is>
      </c>
      <c r="H6" t="inlineStr">
        <is>
          <t>Pooja Items</t>
        </is>
      </c>
      <c r="I6" t="n">
        <v>20</v>
      </c>
      <c r="J6" t="inlineStr">
        <is>
          <t>P005_Camphor</t>
        </is>
      </c>
    </row>
    <row r="7">
      <c r="A7" t="inlineStr">
        <is>
          <t>P006</t>
        </is>
      </c>
      <c r="B7" t="inlineStr">
        <is>
          <t>പിത്തള വിഗ്രഹം</t>
        </is>
      </c>
      <c r="C7" t="inlineStr">
        <is>
          <t>Brass Idol</t>
        </is>
      </c>
      <c r="D7" t="inlineStr">
        <is>
          <t>பித்தளை சிலை</t>
        </is>
      </c>
      <c r="E7" t="inlineStr">
        <is>
          <t>ಹಿತ್ತಾಳೆ ವಿಗ್ರಹ</t>
        </is>
      </c>
      <c r="F7" t="inlineStr">
        <is>
          <t>ఇత్తడి విగ్రహం</t>
        </is>
      </c>
      <c r="G7" t="inlineStr">
        <is>
          <t>पीतल की मूर्ति</t>
        </is>
      </c>
      <c r="H7" t="inlineStr">
        <is>
          <t>Idols</t>
        </is>
      </c>
      <c r="I7" t="n">
        <v>500</v>
      </c>
      <c r="J7" t="inlineStr">
        <is>
          <t>P006_Brass_Idol</t>
        </is>
      </c>
    </row>
    <row r="8">
      <c r="A8" t="inlineStr">
        <is>
          <t>K001</t>
        </is>
      </c>
      <c r="B8" t="inlineStr">
        <is>
          <t>ഉപ്പേരി</t>
        </is>
      </c>
      <c r="C8" t="inlineStr">
        <is>
          <t>Banana Chips</t>
        </is>
      </c>
      <c r="D8" t="inlineStr">
        <is>
          <t>வாழைக்காய் சிப்ஸ்</t>
        </is>
      </c>
      <c r="E8" t="inlineStr">
        <is>
          <t>ಬಾಳೆಕಾಯಿ ಚಿಪ್ಸ್</t>
        </is>
      </c>
      <c r="F8" t="inlineStr">
        <is>
          <t>అరటికాయ చిప్స్</t>
        </is>
      </c>
      <c r="G8" t="inlineStr">
        <is>
          <t>केले के चिप्स</t>
        </is>
      </c>
      <c r="H8" t="inlineStr">
        <is>
          <t>Kerala Snacks</t>
        </is>
      </c>
      <c r="I8" t="n">
        <v>80</v>
      </c>
      <c r="J8" t="inlineStr">
        <is>
          <t>K001_Banana_Chips</t>
        </is>
      </c>
    </row>
    <row r="9">
      <c r="A9" t="inlineStr">
        <is>
          <t>K002</t>
        </is>
      </c>
      <c r="B9" t="inlineStr">
        <is>
          <t>മിക്സ്ചർ</t>
        </is>
      </c>
      <c r="C9" t="inlineStr">
        <is>
          <t>Mixture</t>
        </is>
      </c>
      <c r="D9" t="inlineStr">
        <is>
          <t>மிக்சர்</t>
        </is>
      </c>
      <c r="E9" t="inlineStr">
        <is>
          <t>ಮಿಕ್ಸ್ಚರ್</t>
        </is>
      </c>
      <c r="F9" t="inlineStr">
        <is>
          <t>మిక్చర్</t>
        </is>
      </c>
      <c r="G9" t="inlineStr">
        <is>
          <t>मिक्सचर</t>
        </is>
      </c>
      <c r="H9" t="inlineStr">
        <is>
          <t>Kerala Snacks</t>
        </is>
      </c>
      <c r="I9" t="n">
        <v>120</v>
      </c>
      <c r="J9" t="inlineStr">
        <is>
          <t>K002_Mixture</t>
        </is>
      </c>
    </row>
    <row r="10">
      <c r="A10" t="inlineStr">
        <is>
          <t>K003</t>
        </is>
      </c>
      <c r="B10" t="inlineStr">
        <is>
          <t>മുറുക്ക്</t>
        </is>
      </c>
      <c r="C10" t="inlineStr">
        <is>
          <t>Murukku</t>
        </is>
      </c>
      <c r="D10" t="inlineStr">
        <is>
          <t>முறுக்கு</t>
        </is>
      </c>
      <c r="E10" t="inlineStr">
        <is>
          <t>ಮುರುಕ್ಕು</t>
        </is>
      </c>
      <c r="F10" t="inlineStr">
        <is>
          <t>మురుక్కు</t>
        </is>
      </c>
      <c r="G10" t="inlineStr">
        <is>
          <t>मुरुक्कु</t>
        </is>
      </c>
      <c r="H10" t="inlineStr">
        <is>
          <t>Kerala Snacks</t>
        </is>
      </c>
      <c r="I10" t="n">
        <v>100</v>
      </c>
      <c r="J10" t="inlineStr">
        <is>
          <t>K003_Murukku</t>
        </is>
      </c>
    </row>
    <row r="11">
      <c r="A11" t="inlineStr">
        <is>
          <t>K004</t>
        </is>
      </c>
      <c r="B11" t="inlineStr">
        <is>
          <t>അച്ചപ്പം</t>
        </is>
      </c>
      <c r="C11" t="inlineStr">
        <is>
          <t>Achappam</t>
        </is>
      </c>
      <c r="D11" t="inlineStr">
        <is>
          <t>அச்சப்பம்</t>
        </is>
      </c>
      <c r="E11" t="inlineStr">
        <is>
          <t>ಅಚ್ಚಪ್ಪಂ</t>
        </is>
      </c>
      <c r="F11" t="inlineStr">
        <is>
          <t>అచ్చప్పం</t>
        </is>
      </c>
      <c r="G11" t="inlineStr">
        <is>
          <t>अच्चप्पम</t>
        </is>
      </c>
      <c r="H11" t="inlineStr">
        <is>
          <t>Kerala Snacks</t>
        </is>
      </c>
      <c r="I11" t="n">
        <v>90</v>
      </c>
      <c r="J11" t="inlineStr">
        <is>
          <t>K004_Achappam</t>
        </is>
      </c>
    </row>
    <row r="12">
      <c r="A12" t="inlineStr">
        <is>
          <t>K005</t>
        </is>
      </c>
      <c r="B12" t="inlineStr">
        <is>
          <t>ചക്ക ചിപ്സ്</t>
        </is>
      </c>
      <c r="C12" t="inlineStr">
        <is>
          <t>Jackfruit Chips</t>
        </is>
      </c>
      <c r="D12" t="inlineStr">
        <is>
          <t>பலா சிப்ஸ்</t>
        </is>
      </c>
      <c r="E12" t="inlineStr">
        <is>
          <t>ಹಲಸಿನ ಹಣ್ಣಿನ ಚಿಪ್ಸ್</t>
        </is>
      </c>
      <c r="F12" t="inlineStr">
        <is>
          <t>పనస చిప్స్</t>
        </is>
      </c>
      <c r="G12" t="inlineStr">
        <is>
          <t>कटहल के चिप्स</t>
        </is>
      </c>
      <c r="H12" t="inlineStr">
        <is>
          <t>Kerala Snacks</t>
        </is>
      </c>
      <c r="I12" t="n">
        <v>150</v>
      </c>
      <c r="J12" t="inlineStr">
        <is>
          <t>K005_Jackfruit_Chips</t>
        </is>
      </c>
    </row>
    <row r="13">
      <c r="A13" t="inlineStr">
        <is>
          <t>K006</t>
        </is>
      </c>
      <c r="B13" t="inlineStr">
        <is>
          <t>കപ്പ ചിപ്സ്</t>
        </is>
      </c>
      <c r="C13" t="inlineStr">
        <is>
          <t>Tapioca Chips</t>
        </is>
      </c>
      <c r="D13" t="inlineStr">
        <is>
          <t>மரவள்ளிக்கிழங்கு சிப்ஸ்</t>
        </is>
      </c>
      <c r="E13" t="inlineStr">
        <is>
          <t>ಮರಗೆಣಸು ಚಿಪ್ಸ್</t>
        </is>
      </c>
      <c r="F13" t="inlineStr">
        <is>
          <t>కర్రపెండలం చిప్స్</t>
        </is>
      </c>
      <c r="G13" t="inlineStr">
        <is>
          <t>कसावा चिप्स</t>
        </is>
      </c>
      <c r="H13" t="inlineStr">
        <is>
          <t>Kerala Snacks</t>
        </is>
      </c>
      <c r="I13" t="n">
        <v>70</v>
      </c>
      <c r="J13" t="inlineStr">
        <is>
          <t>K006_Tapioca_Chips</t>
        </is>
      </c>
    </row>
    <row r="14">
      <c r="A14" t="inlineStr">
        <is>
          <t>K007</t>
        </is>
      </c>
      <c r="B14" t="inlineStr">
        <is>
          <t>പായസം മിക്സ്</t>
        </is>
      </c>
      <c r="C14" t="inlineStr">
        <is>
          <t>Payasam Mix</t>
        </is>
      </c>
      <c r="D14" t="inlineStr">
        <is>
          <t>பாயசம் மிக்ஸ்</t>
        </is>
      </c>
      <c r="E14" t="inlineStr">
        <is>
          <t>ಪಾಯಸ ಮಿಕ್ಸ್</t>
        </is>
      </c>
      <c r="F14" t="inlineStr">
        <is>
          <t>పాయసం మిక్స్</t>
        </is>
      </c>
      <c r="G14" t="inlineStr">
        <is>
          <t>पायसम मिक्स</t>
        </is>
      </c>
      <c r="H14" t="inlineStr">
        <is>
          <t>Kerala Sweets</t>
        </is>
      </c>
      <c r="I14" t="n">
        <v>180</v>
      </c>
      <c r="J14" t="inlineStr">
        <is>
          <t>K007_Payasam_Mix</t>
        </is>
      </c>
    </row>
    <row r="15">
      <c r="A15" t="inlineStr">
        <is>
          <t>K008</t>
        </is>
      </c>
      <c r="B15" t="inlineStr">
        <is>
          <t>വെളിച്ചെണ്ണ</t>
        </is>
      </c>
      <c r="C15" t="inlineStr">
        <is>
          <t>Coconut Oil</t>
        </is>
      </c>
      <c r="D15" t="inlineStr">
        <is>
          <t>தேங்காய் எண்ணெய்</t>
        </is>
      </c>
      <c r="E15" t="inlineStr">
        <is>
          <t>ತೆಂಗಿನೆಣ್ಣೆ</t>
        </is>
      </c>
      <c r="F15" t="inlineStr">
        <is>
          <t>కొబ్బరి నూనె</t>
        </is>
      </c>
      <c r="G15" t="inlineStr">
        <is>
          <t>नारियल तेल</t>
        </is>
      </c>
      <c r="H15" t="inlineStr">
        <is>
          <t>Kerala Products</t>
        </is>
      </c>
      <c r="I15" t="n">
        <v>250</v>
      </c>
      <c r="J15" t="inlineStr">
        <is>
          <t>K008_Coconut_Oil</t>
        </is>
      </c>
    </row>
    <row r="16">
      <c r="A16" t="inlineStr">
        <is>
          <t>K009</t>
        </is>
      </c>
      <c r="B16" t="inlineStr">
        <is>
          <t>കേരള മസാല പായ്ക്ക്</t>
        </is>
      </c>
      <c r="C16" t="inlineStr">
        <is>
          <t>Kerala Spices Pack</t>
        </is>
      </c>
      <c r="D16" t="inlineStr">
        <is>
          <t>கேரள மசாலா தொகுப்பு</t>
        </is>
      </c>
      <c r="E16" t="inlineStr">
        <is>
          <t>ಕೇರಳ ಮಸಾಲಾ ಪ್ಯಾಕ್</t>
        </is>
      </c>
      <c r="F16" t="inlineStr">
        <is>
          <t>కేరళ మసాలా ప్యాక్</t>
        </is>
      </c>
      <c r="G16" t="inlineStr">
        <is>
          <t>केरल मसाला पैक</t>
        </is>
      </c>
      <c r="H16" t="inlineStr">
        <is>
          <t>Kerala Products</t>
        </is>
      </c>
      <c r="I16" t="n">
        <v>350</v>
      </c>
      <c r="J16" t="inlineStr">
        <is>
          <t>K009_Kerala_Spices_Pack</t>
        </is>
      </c>
    </row>
    <row r="17">
      <c r="A17" t="inlineStr">
        <is>
          <t>K010</t>
        </is>
      </c>
      <c r="B17" t="inlineStr">
        <is>
          <t>ശർക്കര</t>
        </is>
      </c>
      <c r="C17" t="inlineStr">
        <is>
          <t>Jaggery</t>
        </is>
      </c>
      <c r="D17" t="inlineStr">
        <is>
          <t>வெல்லம்</t>
        </is>
      </c>
      <c r="E17" t="inlineStr">
        <is>
          <t>ಬೆಲ್ಲ</t>
        </is>
      </c>
      <c r="F17" t="inlineStr">
        <is>
          <t>బెల్లం</t>
        </is>
      </c>
      <c r="G17" t="inlineStr">
        <is>
          <t>गुड़</t>
        </is>
      </c>
      <c r="H17" t="inlineStr">
        <is>
          <t>Kerala Products</t>
        </is>
      </c>
      <c r="I17" t="n">
        <v>60</v>
      </c>
      <c r="J17" t="inlineStr">
        <is>
          <t>K010_Jaggery</t>
        </is>
      </c>
    </row>
  </sheetData>
  <dataValidations count="1">
    <dataValidation sqref="H2:H501" showDropDown="0" showInputMessage="0" showErrorMessage="0" allowBlank="1" type="list">
      <formula1>"Pooja Items,Idols,Incense,Kerala Snacks,Kerala Sweets,Kerala Products"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6" customWidth="1" min="5" max="5"/>
    <col width="16" customWidth="1" min="6" max="6"/>
    <col width="18" customWidth="1" min="7" max="7"/>
    <col width="26" customWidth="1" min="8" max="8"/>
    <col width="20" customWidth="1" min="9" max="9"/>
    <col width="12" customWidth="1" min="10" max="10"/>
    <col width="16" customWidth="1" min="11" max="11"/>
    <col width="18" customWidth="1" min="12" max="12"/>
    <col width="12" customWidth="1" min="13" max="13"/>
  </cols>
  <sheetData>
    <row r="1">
      <c r="A1" s="2" t="inlineStr">
        <is>
          <t>Lot_ID</t>
        </is>
      </c>
      <c r="B1" s="2" t="inlineStr">
        <is>
          <t>Product_ID</t>
        </is>
      </c>
      <c r="C1" s="2" t="inlineStr">
        <is>
          <t>Received_On</t>
        </is>
      </c>
      <c r="D1" s="2" t="inlineStr">
        <is>
          <t>Supplier</t>
        </is>
      </c>
      <c r="E1" s="2" t="inlineStr">
        <is>
          <t>Buy_Price_Unit</t>
        </is>
      </c>
      <c r="F1" s="2" t="inlineStr">
        <is>
          <t>Qty_Received</t>
        </is>
      </c>
      <c r="G1" s="2" t="inlineStr">
        <is>
          <t>Selling_Price_Unit</t>
        </is>
      </c>
      <c r="H1" s="2" t="inlineStr">
        <is>
          <t>Expense_Note</t>
        </is>
      </c>
      <c r="I1" s="2" t="inlineStr">
        <is>
          <t>Lot_Expenses_Total</t>
        </is>
      </c>
      <c r="J1" s="2" t="inlineStr">
        <is>
          <t>Qty_Sold</t>
        </is>
      </c>
      <c r="K1" s="2" t="inlineStr">
        <is>
          <t>Qty_Remaining</t>
        </is>
      </c>
      <c r="L1" s="2" t="inlineStr">
        <is>
          <t>Landed_Cost_Unit</t>
        </is>
      </c>
      <c r="M1" s="2" t="inlineStr">
        <is>
          <t>Status</t>
        </is>
      </c>
    </row>
    <row r="2">
      <c r="I2">
        <f>IF(A2="","",SUMIFS(Expenses!D:D,Expenses!B:B,A2))</f>
        <v/>
      </c>
      <c r="J2">
        <f>IF(A2="","",SUMIFS(Sales!F:F,Sales!E:E,A2))</f>
        <v/>
      </c>
      <c r="K2">
        <f>IF(A2="","",F2-J2)</f>
        <v/>
      </c>
      <c r="L2">
        <f>IF(A2="","",IF(F2=0,"",(E2*F2+I2)/F2))</f>
        <v/>
      </c>
      <c r="M2">
        <f>IF(A2="","",IF(K2&lt;=0,"Sold Out","Active"))</f>
        <v/>
      </c>
    </row>
    <row r="3">
      <c r="I3">
        <f>IF(A3="","",SUMIFS(Expenses!D:D,Expenses!B:B,A3))</f>
        <v/>
      </c>
      <c r="J3">
        <f>IF(A3="","",SUMIFS(Sales!F:F,Sales!E:E,A3))</f>
        <v/>
      </c>
      <c r="K3">
        <f>IF(A3="","",F3-J3)</f>
        <v/>
      </c>
      <c r="L3">
        <f>IF(A3="","",IF(F3=0,"",(E3*F3+I3)/F3))</f>
        <v/>
      </c>
      <c r="M3">
        <f>IF(A3="","",IF(K3&lt;=0,"Sold Out","Active"))</f>
        <v/>
      </c>
    </row>
    <row r="4">
      <c r="I4">
        <f>IF(A4="","",SUMIFS(Expenses!D:D,Expenses!B:B,A4))</f>
        <v/>
      </c>
      <c r="J4">
        <f>IF(A4="","",SUMIFS(Sales!F:F,Sales!E:E,A4))</f>
        <v/>
      </c>
      <c r="K4">
        <f>IF(A4="","",F4-J4)</f>
        <v/>
      </c>
      <c r="L4">
        <f>IF(A4="","",IF(F4=0,"",(E4*F4+I4)/F4))</f>
        <v/>
      </c>
      <c r="M4">
        <f>IF(A4="","",IF(K4&lt;=0,"Sold Out","Active"))</f>
        <v/>
      </c>
    </row>
    <row r="5">
      <c r="I5">
        <f>IF(A5="","",SUMIFS(Expenses!D:D,Expenses!B:B,A5))</f>
        <v/>
      </c>
      <c r="J5">
        <f>IF(A5="","",SUMIFS(Sales!F:F,Sales!E:E,A5))</f>
        <v/>
      </c>
      <c r="K5">
        <f>IF(A5="","",F5-J5)</f>
        <v/>
      </c>
      <c r="L5">
        <f>IF(A5="","",IF(F5=0,"",(E5*F5+I5)/F5))</f>
        <v/>
      </c>
      <c r="M5">
        <f>IF(A5="","",IF(K5&lt;=0,"Sold Out","Active"))</f>
        <v/>
      </c>
    </row>
    <row r="6">
      <c r="I6">
        <f>IF(A6="","",SUMIFS(Expenses!D:D,Expenses!B:B,A6))</f>
        <v/>
      </c>
      <c r="J6">
        <f>IF(A6="","",SUMIFS(Sales!F:F,Sales!E:E,A6))</f>
        <v/>
      </c>
      <c r="K6">
        <f>IF(A6="","",F6-J6)</f>
        <v/>
      </c>
      <c r="L6">
        <f>IF(A6="","",IF(F6=0,"",(E6*F6+I6)/F6))</f>
        <v/>
      </c>
      <c r="M6">
        <f>IF(A6="","",IF(K6&lt;=0,"Sold Out","Active"))</f>
        <v/>
      </c>
    </row>
    <row r="7">
      <c r="I7">
        <f>IF(A7="","",SUMIFS(Expenses!D:D,Expenses!B:B,A7))</f>
        <v/>
      </c>
      <c r="J7">
        <f>IF(A7="","",SUMIFS(Sales!F:F,Sales!E:E,A7))</f>
        <v/>
      </c>
      <c r="K7">
        <f>IF(A7="","",F7-J7)</f>
        <v/>
      </c>
      <c r="L7">
        <f>IF(A7="","",IF(F7=0,"",(E7*F7+I7)/F7))</f>
        <v/>
      </c>
      <c r="M7">
        <f>IF(A7="","",IF(K7&lt;=0,"Sold Out","Active"))</f>
        <v/>
      </c>
    </row>
    <row r="8">
      <c r="I8">
        <f>IF(A8="","",SUMIFS(Expenses!D:D,Expenses!B:B,A8))</f>
        <v/>
      </c>
      <c r="J8">
        <f>IF(A8="","",SUMIFS(Sales!F:F,Sales!E:E,A8))</f>
        <v/>
      </c>
      <c r="K8">
        <f>IF(A8="","",F8-J8)</f>
        <v/>
      </c>
      <c r="L8">
        <f>IF(A8="","",IF(F8=0,"",(E8*F8+I8)/F8))</f>
        <v/>
      </c>
      <c r="M8">
        <f>IF(A8="","",IF(K8&lt;=0,"Sold Out","Active"))</f>
        <v/>
      </c>
    </row>
    <row r="9">
      <c r="I9">
        <f>IF(A9="","",SUMIFS(Expenses!D:D,Expenses!B:B,A9))</f>
        <v/>
      </c>
      <c r="J9">
        <f>IF(A9="","",SUMIFS(Sales!F:F,Sales!E:E,A9))</f>
        <v/>
      </c>
      <c r="K9">
        <f>IF(A9="","",F9-J9)</f>
        <v/>
      </c>
      <c r="L9">
        <f>IF(A9="","",IF(F9=0,"",(E9*F9+I9)/F9))</f>
        <v/>
      </c>
      <c r="M9">
        <f>IF(A9="","",IF(K9&lt;=0,"Sold Out","Active"))</f>
        <v/>
      </c>
    </row>
    <row r="10">
      <c r="I10">
        <f>IF(A10="","",SUMIFS(Expenses!D:D,Expenses!B:B,A10))</f>
        <v/>
      </c>
      <c r="J10">
        <f>IF(A10="","",SUMIFS(Sales!F:F,Sales!E:E,A10))</f>
        <v/>
      </c>
      <c r="K10">
        <f>IF(A10="","",F10-J10)</f>
        <v/>
      </c>
      <c r="L10">
        <f>IF(A10="","",IF(F10=0,"",(E10*F10+I10)/F10))</f>
        <v/>
      </c>
      <c r="M10">
        <f>IF(A10="","",IF(K10&lt;=0,"Sold Out","Active"))</f>
        <v/>
      </c>
    </row>
    <row r="11">
      <c r="I11">
        <f>IF(A11="","",SUMIFS(Expenses!D:D,Expenses!B:B,A11))</f>
        <v/>
      </c>
      <c r="J11">
        <f>IF(A11="","",SUMIFS(Sales!F:F,Sales!E:E,A11))</f>
        <v/>
      </c>
      <c r="K11">
        <f>IF(A11="","",F11-J11)</f>
        <v/>
      </c>
      <c r="L11">
        <f>IF(A11="","",IF(F11=0,"",(E11*F11+I11)/F11))</f>
        <v/>
      </c>
      <c r="M11">
        <f>IF(A11="","",IF(K11&lt;=0,"Sold Out","Active"))</f>
        <v/>
      </c>
    </row>
    <row r="12">
      <c r="I12">
        <f>IF(A12="","",SUMIFS(Expenses!D:D,Expenses!B:B,A12))</f>
        <v/>
      </c>
      <c r="J12">
        <f>IF(A12="","",SUMIFS(Sales!F:F,Sales!E:E,A12))</f>
        <v/>
      </c>
      <c r="K12">
        <f>IF(A12="","",F12-J12)</f>
        <v/>
      </c>
      <c r="L12">
        <f>IF(A12="","",IF(F12=0,"",(E12*F12+I12)/F12))</f>
        <v/>
      </c>
      <c r="M12">
        <f>IF(A12="","",IF(K12&lt;=0,"Sold Out","Active"))</f>
        <v/>
      </c>
    </row>
    <row r="13">
      <c r="I13">
        <f>IF(A13="","",SUMIFS(Expenses!D:D,Expenses!B:B,A13))</f>
        <v/>
      </c>
      <c r="J13">
        <f>IF(A13="","",SUMIFS(Sales!F:F,Sales!E:E,A13))</f>
        <v/>
      </c>
      <c r="K13">
        <f>IF(A13="","",F13-J13)</f>
        <v/>
      </c>
      <c r="L13">
        <f>IF(A13="","",IF(F13=0,"",(E13*F13+I13)/F13))</f>
        <v/>
      </c>
      <c r="M13">
        <f>IF(A13="","",IF(K13&lt;=0,"Sold Out","Active"))</f>
        <v/>
      </c>
    </row>
    <row r="14">
      <c r="I14">
        <f>IF(A14="","",SUMIFS(Expenses!D:D,Expenses!B:B,A14))</f>
        <v/>
      </c>
      <c r="J14">
        <f>IF(A14="","",SUMIFS(Sales!F:F,Sales!E:E,A14))</f>
        <v/>
      </c>
      <c r="K14">
        <f>IF(A14="","",F14-J14)</f>
        <v/>
      </c>
      <c r="L14">
        <f>IF(A14="","",IF(F14=0,"",(E14*F14+I14)/F14))</f>
        <v/>
      </c>
      <c r="M14">
        <f>IF(A14="","",IF(K14&lt;=0,"Sold Out","Active"))</f>
        <v/>
      </c>
    </row>
    <row r="15">
      <c r="I15">
        <f>IF(A15="","",SUMIFS(Expenses!D:D,Expenses!B:B,A15))</f>
        <v/>
      </c>
      <c r="J15">
        <f>IF(A15="","",SUMIFS(Sales!F:F,Sales!E:E,A15))</f>
        <v/>
      </c>
      <c r="K15">
        <f>IF(A15="","",F15-J15)</f>
        <v/>
      </c>
      <c r="L15">
        <f>IF(A15="","",IF(F15=0,"",(E15*F15+I15)/F15))</f>
        <v/>
      </c>
      <c r="M15">
        <f>IF(A15="","",IF(K15&lt;=0,"Sold Out","Active"))</f>
        <v/>
      </c>
    </row>
    <row r="16">
      <c r="I16">
        <f>IF(A16="","",SUMIFS(Expenses!D:D,Expenses!B:B,A16))</f>
        <v/>
      </c>
      <c r="J16">
        <f>IF(A16="","",SUMIFS(Sales!F:F,Sales!E:E,A16))</f>
        <v/>
      </c>
      <c r="K16">
        <f>IF(A16="","",F16-J16)</f>
        <v/>
      </c>
      <c r="L16">
        <f>IF(A16="","",IF(F16=0,"",(E16*F16+I16)/F16))</f>
        <v/>
      </c>
      <c r="M16">
        <f>IF(A16="","",IF(K16&lt;=0,"Sold Out","Active"))</f>
        <v/>
      </c>
    </row>
    <row r="17">
      <c r="I17">
        <f>IF(A17="","",SUMIFS(Expenses!D:D,Expenses!B:B,A17))</f>
        <v/>
      </c>
      <c r="J17">
        <f>IF(A17="","",SUMIFS(Sales!F:F,Sales!E:E,A17))</f>
        <v/>
      </c>
      <c r="K17">
        <f>IF(A17="","",F17-J17)</f>
        <v/>
      </c>
      <c r="L17">
        <f>IF(A17="","",IF(F17=0,"",(E17*F17+I17)/F17))</f>
        <v/>
      </c>
      <c r="M17">
        <f>IF(A17="","",IF(K17&lt;=0,"Sold Out","Active"))</f>
        <v/>
      </c>
    </row>
    <row r="18">
      <c r="I18">
        <f>IF(A18="","",SUMIFS(Expenses!D:D,Expenses!B:B,A18))</f>
        <v/>
      </c>
      <c r="J18">
        <f>IF(A18="","",SUMIFS(Sales!F:F,Sales!E:E,A18))</f>
        <v/>
      </c>
      <c r="K18">
        <f>IF(A18="","",F18-J18)</f>
        <v/>
      </c>
      <c r="L18">
        <f>IF(A18="","",IF(F18=0,"",(E18*F18+I18)/F18))</f>
        <v/>
      </c>
      <c r="M18">
        <f>IF(A18="","",IF(K18&lt;=0,"Sold Out","Active"))</f>
        <v/>
      </c>
    </row>
    <row r="19">
      <c r="I19">
        <f>IF(A19="","",SUMIFS(Expenses!D:D,Expenses!B:B,A19))</f>
        <v/>
      </c>
      <c r="J19">
        <f>IF(A19="","",SUMIFS(Sales!F:F,Sales!E:E,A19))</f>
        <v/>
      </c>
      <c r="K19">
        <f>IF(A19="","",F19-J19)</f>
        <v/>
      </c>
      <c r="L19">
        <f>IF(A19="","",IF(F19=0,"",(E19*F19+I19)/F19))</f>
        <v/>
      </c>
      <c r="M19">
        <f>IF(A19="","",IF(K19&lt;=0,"Sold Out","Active"))</f>
        <v/>
      </c>
    </row>
    <row r="20">
      <c r="I20">
        <f>IF(A20="","",SUMIFS(Expenses!D:D,Expenses!B:B,A20))</f>
        <v/>
      </c>
      <c r="J20">
        <f>IF(A20="","",SUMIFS(Sales!F:F,Sales!E:E,A20))</f>
        <v/>
      </c>
      <c r="K20">
        <f>IF(A20="","",F20-J20)</f>
        <v/>
      </c>
      <c r="L20">
        <f>IF(A20="","",IF(F20=0,"",(E20*F20+I20)/F20))</f>
        <v/>
      </c>
      <c r="M20">
        <f>IF(A20="","",IF(K20&lt;=0,"Sold Out","Active"))</f>
        <v/>
      </c>
    </row>
    <row r="21">
      <c r="I21">
        <f>IF(A21="","",SUMIFS(Expenses!D:D,Expenses!B:B,A21))</f>
        <v/>
      </c>
      <c r="J21">
        <f>IF(A21="","",SUMIFS(Sales!F:F,Sales!E:E,A21))</f>
        <v/>
      </c>
      <c r="K21">
        <f>IF(A21="","",F21-J21)</f>
        <v/>
      </c>
      <c r="L21">
        <f>IF(A21="","",IF(F21=0,"",(E21*F21+I21)/F21))</f>
        <v/>
      </c>
      <c r="M21">
        <f>IF(A21="","",IF(K21&lt;=0,"Sold Out","Active"))</f>
        <v/>
      </c>
    </row>
    <row r="22">
      <c r="I22">
        <f>IF(A22="","",SUMIFS(Expenses!D:D,Expenses!B:B,A22))</f>
        <v/>
      </c>
      <c r="J22">
        <f>IF(A22="","",SUMIFS(Sales!F:F,Sales!E:E,A22))</f>
        <v/>
      </c>
      <c r="K22">
        <f>IF(A22="","",F22-J22)</f>
        <v/>
      </c>
      <c r="L22">
        <f>IF(A22="","",IF(F22=0,"",(E22*F22+I22)/F22))</f>
        <v/>
      </c>
      <c r="M22">
        <f>IF(A22="","",IF(K22&lt;=0,"Sold Out","Active"))</f>
        <v/>
      </c>
    </row>
    <row r="23">
      <c r="I23">
        <f>IF(A23="","",SUMIFS(Expenses!D:D,Expenses!B:B,A23))</f>
        <v/>
      </c>
      <c r="J23">
        <f>IF(A23="","",SUMIFS(Sales!F:F,Sales!E:E,A23))</f>
        <v/>
      </c>
      <c r="K23">
        <f>IF(A23="","",F23-J23)</f>
        <v/>
      </c>
      <c r="L23">
        <f>IF(A23="","",IF(F23=0,"",(E23*F23+I23)/F23))</f>
        <v/>
      </c>
      <c r="M23">
        <f>IF(A23="","",IF(K23&lt;=0,"Sold Out","Active"))</f>
        <v/>
      </c>
    </row>
    <row r="24">
      <c r="I24">
        <f>IF(A24="","",SUMIFS(Expenses!D:D,Expenses!B:B,A24))</f>
        <v/>
      </c>
      <c r="J24">
        <f>IF(A24="","",SUMIFS(Sales!F:F,Sales!E:E,A24))</f>
        <v/>
      </c>
      <c r="K24">
        <f>IF(A24="","",F24-J24)</f>
        <v/>
      </c>
      <c r="L24">
        <f>IF(A24="","",IF(F24=0,"",(E24*F24+I24)/F24))</f>
        <v/>
      </c>
      <c r="M24">
        <f>IF(A24="","",IF(K24&lt;=0,"Sold Out","Active"))</f>
        <v/>
      </c>
    </row>
    <row r="25">
      <c r="I25">
        <f>IF(A25="","",SUMIFS(Expenses!D:D,Expenses!B:B,A25))</f>
        <v/>
      </c>
      <c r="J25">
        <f>IF(A25="","",SUMIFS(Sales!F:F,Sales!E:E,A25))</f>
        <v/>
      </c>
      <c r="K25">
        <f>IF(A25="","",F25-J25)</f>
        <v/>
      </c>
      <c r="L25">
        <f>IF(A25="","",IF(F25=0,"",(E25*F25+I25)/F25))</f>
        <v/>
      </c>
      <c r="M25">
        <f>IF(A25="","",IF(K25&lt;=0,"Sold Out","Active"))</f>
        <v/>
      </c>
    </row>
    <row r="26">
      <c r="I26">
        <f>IF(A26="","",SUMIFS(Expenses!D:D,Expenses!B:B,A26))</f>
        <v/>
      </c>
      <c r="J26">
        <f>IF(A26="","",SUMIFS(Sales!F:F,Sales!E:E,A26))</f>
        <v/>
      </c>
      <c r="K26">
        <f>IF(A26="","",F26-J26)</f>
        <v/>
      </c>
      <c r="L26">
        <f>IF(A26="","",IF(F26=0,"",(E26*F26+I26)/F26))</f>
        <v/>
      </c>
      <c r="M26">
        <f>IF(A26="","",IF(K26&lt;=0,"Sold Out","Active"))</f>
        <v/>
      </c>
    </row>
    <row r="27">
      <c r="I27">
        <f>IF(A27="","",SUMIFS(Expenses!D:D,Expenses!B:B,A27))</f>
        <v/>
      </c>
      <c r="J27">
        <f>IF(A27="","",SUMIFS(Sales!F:F,Sales!E:E,A27))</f>
        <v/>
      </c>
      <c r="K27">
        <f>IF(A27="","",F27-J27)</f>
        <v/>
      </c>
      <c r="L27">
        <f>IF(A27="","",IF(F27=0,"",(E27*F27+I27)/F27))</f>
        <v/>
      </c>
      <c r="M27">
        <f>IF(A27="","",IF(K27&lt;=0,"Sold Out","Active"))</f>
        <v/>
      </c>
    </row>
    <row r="28">
      <c r="I28">
        <f>IF(A28="","",SUMIFS(Expenses!D:D,Expenses!B:B,A28))</f>
        <v/>
      </c>
      <c r="J28">
        <f>IF(A28="","",SUMIFS(Sales!F:F,Sales!E:E,A28))</f>
        <v/>
      </c>
      <c r="K28">
        <f>IF(A28="","",F28-J28)</f>
        <v/>
      </c>
      <c r="L28">
        <f>IF(A28="","",IF(F28=0,"",(E28*F28+I28)/F28))</f>
        <v/>
      </c>
      <c r="M28">
        <f>IF(A28="","",IF(K28&lt;=0,"Sold Out","Active"))</f>
        <v/>
      </c>
    </row>
    <row r="29">
      <c r="I29">
        <f>IF(A29="","",SUMIFS(Expenses!D:D,Expenses!B:B,A29))</f>
        <v/>
      </c>
      <c r="J29">
        <f>IF(A29="","",SUMIFS(Sales!F:F,Sales!E:E,A29))</f>
        <v/>
      </c>
      <c r="K29">
        <f>IF(A29="","",F29-J29)</f>
        <v/>
      </c>
      <c r="L29">
        <f>IF(A29="","",IF(F29=0,"",(E29*F29+I29)/F29))</f>
        <v/>
      </c>
      <c r="M29">
        <f>IF(A29="","",IF(K29&lt;=0,"Sold Out","Active"))</f>
        <v/>
      </c>
    </row>
    <row r="30">
      <c r="I30">
        <f>IF(A30="","",SUMIFS(Expenses!D:D,Expenses!B:B,A30))</f>
        <v/>
      </c>
      <c r="J30">
        <f>IF(A30="","",SUMIFS(Sales!F:F,Sales!E:E,A30))</f>
        <v/>
      </c>
      <c r="K30">
        <f>IF(A30="","",F30-J30)</f>
        <v/>
      </c>
      <c r="L30">
        <f>IF(A30="","",IF(F30=0,"",(E30*F30+I30)/F30))</f>
        <v/>
      </c>
      <c r="M30">
        <f>IF(A30="","",IF(K30&lt;=0,"Sold Out","Active"))</f>
        <v/>
      </c>
    </row>
    <row r="31">
      <c r="I31">
        <f>IF(A31="","",SUMIFS(Expenses!D:D,Expenses!B:B,A31))</f>
        <v/>
      </c>
      <c r="J31">
        <f>IF(A31="","",SUMIFS(Sales!F:F,Sales!E:E,A31))</f>
        <v/>
      </c>
      <c r="K31">
        <f>IF(A31="","",F31-J31)</f>
        <v/>
      </c>
      <c r="L31">
        <f>IF(A31="","",IF(F31=0,"",(E31*F31+I31)/F31))</f>
        <v/>
      </c>
      <c r="M31">
        <f>IF(A31="","",IF(K31&lt;=0,"Sold Out","Active"))</f>
        <v/>
      </c>
    </row>
    <row r="32">
      <c r="I32">
        <f>IF(A32="","",SUMIFS(Expenses!D:D,Expenses!B:B,A32))</f>
        <v/>
      </c>
      <c r="J32">
        <f>IF(A32="","",SUMIFS(Sales!F:F,Sales!E:E,A32))</f>
        <v/>
      </c>
      <c r="K32">
        <f>IF(A32="","",F32-J32)</f>
        <v/>
      </c>
      <c r="L32">
        <f>IF(A32="","",IF(F32=0,"",(E32*F32+I32)/F32))</f>
        <v/>
      </c>
      <c r="M32">
        <f>IF(A32="","",IF(K32&lt;=0,"Sold Out","Active"))</f>
        <v/>
      </c>
    </row>
    <row r="33">
      <c r="I33">
        <f>IF(A33="","",SUMIFS(Expenses!D:D,Expenses!B:B,A33))</f>
        <v/>
      </c>
      <c r="J33">
        <f>IF(A33="","",SUMIFS(Sales!F:F,Sales!E:E,A33))</f>
        <v/>
      </c>
      <c r="K33">
        <f>IF(A33="","",F33-J33)</f>
        <v/>
      </c>
      <c r="L33">
        <f>IF(A33="","",IF(F33=0,"",(E33*F33+I33)/F33))</f>
        <v/>
      </c>
      <c r="M33">
        <f>IF(A33="","",IF(K33&lt;=0,"Sold Out","Active"))</f>
        <v/>
      </c>
    </row>
    <row r="34">
      <c r="I34">
        <f>IF(A34="","",SUMIFS(Expenses!D:D,Expenses!B:B,A34))</f>
        <v/>
      </c>
      <c r="J34">
        <f>IF(A34="","",SUMIFS(Sales!F:F,Sales!E:E,A34))</f>
        <v/>
      </c>
      <c r="K34">
        <f>IF(A34="","",F34-J34)</f>
        <v/>
      </c>
      <c r="L34">
        <f>IF(A34="","",IF(F34=0,"",(E34*F34+I34)/F34))</f>
        <v/>
      </c>
      <c r="M34">
        <f>IF(A34="","",IF(K34&lt;=0,"Sold Out","Active"))</f>
        <v/>
      </c>
    </row>
    <row r="35">
      <c r="I35">
        <f>IF(A35="","",SUMIFS(Expenses!D:D,Expenses!B:B,A35))</f>
        <v/>
      </c>
      <c r="J35">
        <f>IF(A35="","",SUMIFS(Sales!F:F,Sales!E:E,A35))</f>
        <v/>
      </c>
      <c r="K35">
        <f>IF(A35="","",F35-J35)</f>
        <v/>
      </c>
      <c r="L35">
        <f>IF(A35="","",IF(F35=0,"",(E35*F35+I35)/F35))</f>
        <v/>
      </c>
      <c r="M35">
        <f>IF(A35="","",IF(K35&lt;=0,"Sold Out","Active"))</f>
        <v/>
      </c>
    </row>
    <row r="36">
      <c r="I36">
        <f>IF(A36="","",SUMIFS(Expenses!D:D,Expenses!B:B,A36))</f>
        <v/>
      </c>
      <c r="J36">
        <f>IF(A36="","",SUMIFS(Sales!F:F,Sales!E:E,A36))</f>
        <v/>
      </c>
      <c r="K36">
        <f>IF(A36="","",F36-J36)</f>
        <v/>
      </c>
      <c r="L36">
        <f>IF(A36="","",IF(F36=0,"",(E36*F36+I36)/F36))</f>
        <v/>
      </c>
      <c r="M36">
        <f>IF(A36="","",IF(K36&lt;=0,"Sold Out","Active"))</f>
        <v/>
      </c>
    </row>
    <row r="37">
      <c r="I37">
        <f>IF(A37="","",SUMIFS(Expenses!D:D,Expenses!B:B,A37))</f>
        <v/>
      </c>
      <c r="J37">
        <f>IF(A37="","",SUMIFS(Sales!F:F,Sales!E:E,A37))</f>
        <v/>
      </c>
      <c r="K37">
        <f>IF(A37="","",F37-J37)</f>
        <v/>
      </c>
      <c r="L37">
        <f>IF(A37="","",IF(F37=0,"",(E37*F37+I37)/F37))</f>
        <v/>
      </c>
      <c r="M37">
        <f>IF(A37="","",IF(K37&lt;=0,"Sold Out","Active"))</f>
        <v/>
      </c>
    </row>
    <row r="38">
      <c r="I38">
        <f>IF(A38="","",SUMIFS(Expenses!D:D,Expenses!B:B,A38))</f>
        <v/>
      </c>
      <c r="J38">
        <f>IF(A38="","",SUMIFS(Sales!F:F,Sales!E:E,A38))</f>
        <v/>
      </c>
      <c r="K38">
        <f>IF(A38="","",F38-J38)</f>
        <v/>
      </c>
      <c r="L38">
        <f>IF(A38="","",IF(F38=0,"",(E38*F38+I38)/F38))</f>
        <v/>
      </c>
      <c r="M38">
        <f>IF(A38="","",IF(K38&lt;=0,"Sold Out","Active"))</f>
        <v/>
      </c>
    </row>
    <row r="39">
      <c r="I39">
        <f>IF(A39="","",SUMIFS(Expenses!D:D,Expenses!B:B,A39))</f>
        <v/>
      </c>
      <c r="J39">
        <f>IF(A39="","",SUMIFS(Sales!F:F,Sales!E:E,A39))</f>
        <v/>
      </c>
      <c r="K39">
        <f>IF(A39="","",F39-J39)</f>
        <v/>
      </c>
      <c r="L39">
        <f>IF(A39="","",IF(F39=0,"",(E39*F39+I39)/F39))</f>
        <v/>
      </c>
      <c r="M39">
        <f>IF(A39="","",IF(K39&lt;=0,"Sold Out","Active"))</f>
        <v/>
      </c>
    </row>
    <row r="40">
      <c r="I40">
        <f>IF(A40="","",SUMIFS(Expenses!D:D,Expenses!B:B,A40))</f>
        <v/>
      </c>
      <c r="J40">
        <f>IF(A40="","",SUMIFS(Sales!F:F,Sales!E:E,A40))</f>
        <v/>
      </c>
      <c r="K40">
        <f>IF(A40="","",F40-J40)</f>
        <v/>
      </c>
      <c r="L40">
        <f>IF(A40="","",IF(F40=0,"",(E40*F40+I40)/F40))</f>
        <v/>
      </c>
      <c r="M40">
        <f>IF(A40="","",IF(K40&lt;=0,"Sold Out","Active"))</f>
        <v/>
      </c>
    </row>
    <row r="41">
      <c r="I41">
        <f>IF(A41="","",SUMIFS(Expenses!D:D,Expenses!B:B,A41))</f>
        <v/>
      </c>
      <c r="J41">
        <f>IF(A41="","",SUMIFS(Sales!F:F,Sales!E:E,A41))</f>
        <v/>
      </c>
      <c r="K41">
        <f>IF(A41="","",F41-J41)</f>
        <v/>
      </c>
      <c r="L41">
        <f>IF(A41="","",IF(F41=0,"",(E41*F41+I41)/F41))</f>
        <v/>
      </c>
      <c r="M41">
        <f>IF(A41="","",IF(K41&lt;=0,"Sold Out","Active"))</f>
        <v/>
      </c>
    </row>
    <row r="42">
      <c r="I42">
        <f>IF(A42="","",SUMIFS(Expenses!D:D,Expenses!B:B,A42))</f>
        <v/>
      </c>
      <c r="J42">
        <f>IF(A42="","",SUMIFS(Sales!F:F,Sales!E:E,A42))</f>
        <v/>
      </c>
      <c r="K42">
        <f>IF(A42="","",F42-J42)</f>
        <v/>
      </c>
      <c r="L42">
        <f>IF(A42="","",IF(F42=0,"",(E42*F42+I42)/F42))</f>
        <v/>
      </c>
      <c r="M42">
        <f>IF(A42="","",IF(K42&lt;=0,"Sold Out","Active"))</f>
        <v/>
      </c>
    </row>
    <row r="43">
      <c r="I43">
        <f>IF(A43="","",SUMIFS(Expenses!D:D,Expenses!B:B,A43))</f>
        <v/>
      </c>
      <c r="J43">
        <f>IF(A43="","",SUMIFS(Sales!F:F,Sales!E:E,A43))</f>
        <v/>
      </c>
      <c r="K43">
        <f>IF(A43="","",F43-J43)</f>
        <v/>
      </c>
      <c r="L43">
        <f>IF(A43="","",IF(F43=0,"",(E43*F43+I43)/F43))</f>
        <v/>
      </c>
      <c r="M43">
        <f>IF(A43="","",IF(K43&lt;=0,"Sold Out","Active"))</f>
        <v/>
      </c>
    </row>
    <row r="44">
      <c r="I44">
        <f>IF(A44="","",SUMIFS(Expenses!D:D,Expenses!B:B,A44))</f>
        <v/>
      </c>
      <c r="J44">
        <f>IF(A44="","",SUMIFS(Sales!F:F,Sales!E:E,A44))</f>
        <v/>
      </c>
      <c r="K44">
        <f>IF(A44="","",F44-J44)</f>
        <v/>
      </c>
      <c r="L44">
        <f>IF(A44="","",IF(F44=0,"",(E44*F44+I44)/F44))</f>
        <v/>
      </c>
      <c r="M44">
        <f>IF(A44="","",IF(K44&lt;=0,"Sold Out","Active"))</f>
        <v/>
      </c>
    </row>
    <row r="45">
      <c r="I45">
        <f>IF(A45="","",SUMIFS(Expenses!D:D,Expenses!B:B,A45))</f>
        <v/>
      </c>
      <c r="J45">
        <f>IF(A45="","",SUMIFS(Sales!F:F,Sales!E:E,A45))</f>
        <v/>
      </c>
      <c r="K45">
        <f>IF(A45="","",F45-J45)</f>
        <v/>
      </c>
      <c r="L45">
        <f>IF(A45="","",IF(F45=0,"",(E45*F45+I45)/F45))</f>
        <v/>
      </c>
      <c r="M45">
        <f>IF(A45="","",IF(K45&lt;=0,"Sold Out","Active"))</f>
        <v/>
      </c>
    </row>
    <row r="46">
      <c r="I46">
        <f>IF(A46="","",SUMIFS(Expenses!D:D,Expenses!B:B,A46))</f>
        <v/>
      </c>
      <c r="J46">
        <f>IF(A46="","",SUMIFS(Sales!F:F,Sales!E:E,A46))</f>
        <v/>
      </c>
      <c r="K46">
        <f>IF(A46="","",F46-J46)</f>
        <v/>
      </c>
      <c r="L46">
        <f>IF(A46="","",IF(F46=0,"",(E46*F46+I46)/F46))</f>
        <v/>
      </c>
      <c r="M46">
        <f>IF(A46="","",IF(K46&lt;=0,"Sold Out","Active"))</f>
        <v/>
      </c>
    </row>
    <row r="47">
      <c r="I47">
        <f>IF(A47="","",SUMIFS(Expenses!D:D,Expenses!B:B,A47))</f>
        <v/>
      </c>
      <c r="J47">
        <f>IF(A47="","",SUMIFS(Sales!F:F,Sales!E:E,A47))</f>
        <v/>
      </c>
      <c r="K47">
        <f>IF(A47="","",F47-J47)</f>
        <v/>
      </c>
      <c r="L47">
        <f>IF(A47="","",IF(F47=0,"",(E47*F47+I47)/F47))</f>
        <v/>
      </c>
      <c r="M47">
        <f>IF(A47="","",IF(K47&lt;=0,"Sold Out","Active"))</f>
        <v/>
      </c>
    </row>
    <row r="48">
      <c r="I48">
        <f>IF(A48="","",SUMIFS(Expenses!D:D,Expenses!B:B,A48))</f>
        <v/>
      </c>
      <c r="J48">
        <f>IF(A48="","",SUMIFS(Sales!F:F,Sales!E:E,A48))</f>
        <v/>
      </c>
      <c r="K48">
        <f>IF(A48="","",F48-J48)</f>
        <v/>
      </c>
      <c r="L48">
        <f>IF(A48="","",IF(F48=0,"",(E48*F48+I48)/F48))</f>
        <v/>
      </c>
      <c r="M48">
        <f>IF(A48="","",IF(K48&lt;=0,"Sold Out","Active"))</f>
        <v/>
      </c>
    </row>
    <row r="49">
      <c r="I49">
        <f>IF(A49="","",SUMIFS(Expenses!D:D,Expenses!B:B,A49))</f>
        <v/>
      </c>
      <c r="J49">
        <f>IF(A49="","",SUMIFS(Sales!F:F,Sales!E:E,A49))</f>
        <v/>
      </c>
      <c r="K49">
        <f>IF(A49="","",F49-J49)</f>
        <v/>
      </c>
      <c r="L49">
        <f>IF(A49="","",IF(F49=0,"",(E49*F49+I49)/F49))</f>
        <v/>
      </c>
      <c r="M49">
        <f>IF(A49="","",IF(K49&lt;=0,"Sold Out","Active"))</f>
        <v/>
      </c>
    </row>
    <row r="50">
      <c r="I50">
        <f>IF(A50="","",SUMIFS(Expenses!D:D,Expenses!B:B,A50))</f>
        <v/>
      </c>
      <c r="J50">
        <f>IF(A50="","",SUMIFS(Sales!F:F,Sales!E:E,A50))</f>
        <v/>
      </c>
      <c r="K50">
        <f>IF(A50="","",F50-J50)</f>
        <v/>
      </c>
      <c r="L50">
        <f>IF(A50="","",IF(F50=0,"",(E50*F50+I50)/F50))</f>
        <v/>
      </c>
      <c r="M50">
        <f>IF(A50="","",IF(K50&lt;=0,"Sold Out","Active"))</f>
        <v/>
      </c>
    </row>
    <row r="51">
      <c r="I51">
        <f>IF(A51="","",SUMIFS(Expenses!D:D,Expenses!B:B,A51))</f>
        <v/>
      </c>
      <c r="J51">
        <f>IF(A51="","",SUMIFS(Sales!F:F,Sales!E:E,A51))</f>
        <v/>
      </c>
      <c r="K51">
        <f>IF(A51="","",F51-J51)</f>
        <v/>
      </c>
      <c r="L51">
        <f>IF(A51="","",IF(F51=0,"",(E51*F51+I51)/F51))</f>
        <v/>
      </c>
      <c r="M51">
        <f>IF(A51="","",IF(K51&lt;=0,"Sold Out","Active"))</f>
        <v/>
      </c>
    </row>
    <row r="52">
      <c r="I52">
        <f>IF(A52="","",SUMIFS(Expenses!D:D,Expenses!B:B,A52))</f>
        <v/>
      </c>
      <c r="J52">
        <f>IF(A52="","",SUMIFS(Sales!F:F,Sales!E:E,A52))</f>
        <v/>
      </c>
      <c r="K52">
        <f>IF(A52="","",F52-J52)</f>
        <v/>
      </c>
      <c r="L52">
        <f>IF(A52="","",IF(F52=0,"",(E52*F52+I52)/F52))</f>
        <v/>
      </c>
      <c r="M52">
        <f>IF(A52="","",IF(K52&lt;=0,"Sold Out","Active"))</f>
        <v/>
      </c>
    </row>
    <row r="53">
      <c r="I53">
        <f>IF(A53="","",SUMIFS(Expenses!D:D,Expenses!B:B,A53))</f>
        <v/>
      </c>
      <c r="J53">
        <f>IF(A53="","",SUMIFS(Sales!F:F,Sales!E:E,A53))</f>
        <v/>
      </c>
      <c r="K53">
        <f>IF(A53="","",F53-J53)</f>
        <v/>
      </c>
      <c r="L53">
        <f>IF(A53="","",IF(F53=0,"",(E53*F53+I53)/F53))</f>
        <v/>
      </c>
      <c r="M53">
        <f>IF(A53="","",IF(K53&lt;=0,"Sold Out","Active"))</f>
        <v/>
      </c>
    </row>
    <row r="54">
      <c r="I54">
        <f>IF(A54="","",SUMIFS(Expenses!D:D,Expenses!B:B,A54))</f>
        <v/>
      </c>
      <c r="J54">
        <f>IF(A54="","",SUMIFS(Sales!F:F,Sales!E:E,A54))</f>
        <v/>
      </c>
      <c r="K54">
        <f>IF(A54="","",F54-J54)</f>
        <v/>
      </c>
      <c r="L54">
        <f>IF(A54="","",IF(F54=0,"",(E54*F54+I54)/F54))</f>
        <v/>
      </c>
      <c r="M54">
        <f>IF(A54="","",IF(K54&lt;=0,"Sold Out","Active"))</f>
        <v/>
      </c>
    </row>
    <row r="55">
      <c r="I55">
        <f>IF(A55="","",SUMIFS(Expenses!D:D,Expenses!B:B,A55))</f>
        <v/>
      </c>
      <c r="J55">
        <f>IF(A55="","",SUMIFS(Sales!F:F,Sales!E:E,A55))</f>
        <v/>
      </c>
      <c r="K55">
        <f>IF(A55="","",F55-J55)</f>
        <v/>
      </c>
      <c r="L55">
        <f>IF(A55="","",IF(F55=0,"",(E55*F55+I55)/F55))</f>
        <v/>
      </c>
      <c r="M55">
        <f>IF(A55="","",IF(K55&lt;=0,"Sold Out","Active"))</f>
        <v/>
      </c>
    </row>
    <row r="56">
      <c r="I56">
        <f>IF(A56="","",SUMIFS(Expenses!D:D,Expenses!B:B,A56))</f>
        <v/>
      </c>
      <c r="J56">
        <f>IF(A56="","",SUMIFS(Sales!F:F,Sales!E:E,A56))</f>
        <v/>
      </c>
      <c r="K56">
        <f>IF(A56="","",F56-J56)</f>
        <v/>
      </c>
      <c r="L56">
        <f>IF(A56="","",IF(F56=0,"",(E56*F56+I56)/F56))</f>
        <v/>
      </c>
      <c r="M56">
        <f>IF(A56="","",IF(K56&lt;=0,"Sold Out","Active"))</f>
        <v/>
      </c>
    </row>
    <row r="57">
      <c r="I57">
        <f>IF(A57="","",SUMIFS(Expenses!D:D,Expenses!B:B,A57))</f>
        <v/>
      </c>
      <c r="J57">
        <f>IF(A57="","",SUMIFS(Sales!F:F,Sales!E:E,A57))</f>
        <v/>
      </c>
      <c r="K57">
        <f>IF(A57="","",F57-J57)</f>
        <v/>
      </c>
      <c r="L57">
        <f>IF(A57="","",IF(F57=0,"",(E57*F57+I57)/F57))</f>
        <v/>
      </c>
      <c r="M57">
        <f>IF(A57="","",IF(K57&lt;=0,"Sold Out","Active"))</f>
        <v/>
      </c>
    </row>
    <row r="58">
      <c r="I58">
        <f>IF(A58="","",SUMIFS(Expenses!D:D,Expenses!B:B,A58))</f>
        <v/>
      </c>
      <c r="J58">
        <f>IF(A58="","",SUMIFS(Sales!F:F,Sales!E:E,A58))</f>
        <v/>
      </c>
      <c r="K58">
        <f>IF(A58="","",F58-J58)</f>
        <v/>
      </c>
      <c r="L58">
        <f>IF(A58="","",IF(F58=0,"",(E58*F58+I58)/F58))</f>
        <v/>
      </c>
      <c r="M58">
        <f>IF(A58="","",IF(K58&lt;=0,"Sold Out","Active"))</f>
        <v/>
      </c>
    </row>
    <row r="59">
      <c r="I59">
        <f>IF(A59="","",SUMIFS(Expenses!D:D,Expenses!B:B,A59))</f>
        <v/>
      </c>
      <c r="J59">
        <f>IF(A59="","",SUMIFS(Sales!F:F,Sales!E:E,A59))</f>
        <v/>
      </c>
      <c r="K59">
        <f>IF(A59="","",F59-J59)</f>
        <v/>
      </c>
      <c r="L59">
        <f>IF(A59="","",IF(F59=0,"",(E59*F59+I59)/F59))</f>
        <v/>
      </c>
      <c r="M59">
        <f>IF(A59="","",IF(K59&lt;=0,"Sold Out","Active"))</f>
        <v/>
      </c>
    </row>
    <row r="60">
      <c r="I60">
        <f>IF(A60="","",SUMIFS(Expenses!D:D,Expenses!B:B,A60))</f>
        <v/>
      </c>
      <c r="J60">
        <f>IF(A60="","",SUMIFS(Sales!F:F,Sales!E:E,A60))</f>
        <v/>
      </c>
      <c r="K60">
        <f>IF(A60="","",F60-J60)</f>
        <v/>
      </c>
      <c r="L60">
        <f>IF(A60="","",IF(F60=0,"",(E60*F60+I60)/F60))</f>
        <v/>
      </c>
      <c r="M60">
        <f>IF(A60="","",IF(K60&lt;=0,"Sold Out","Active"))</f>
        <v/>
      </c>
    </row>
    <row r="61">
      <c r="I61">
        <f>IF(A61="","",SUMIFS(Expenses!D:D,Expenses!B:B,A61))</f>
        <v/>
      </c>
      <c r="J61">
        <f>IF(A61="","",SUMIFS(Sales!F:F,Sales!E:E,A61))</f>
        <v/>
      </c>
      <c r="K61">
        <f>IF(A61="","",F61-J61)</f>
        <v/>
      </c>
      <c r="L61">
        <f>IF(A61="","",IF(F61=0,"",(E61*F61+I61)/F61))</f>
        <v/>
      </c>
      <c r="M61">
        <f>IF(A61="","",IF(K61&lt;=0,"Sold Out","Active"))</f>
        <v/>
      </c>
    </row>
    <row r="62">
      <c r="I62">
        <f>IF(A62="","",SUMIFS(Expenses!D:D,Expenses!B:B,A62))</f>
        <v/>
      </c>
      <c r="J62">
        <f>IF(A62="","",SUMIFS(Sales!F:F,Sales!E:E,A62))</f>
        <v/>
      </c>
      <c r="K62">
        <f>IF(A62="","",F62-J62)</f>
        <v/>
      </c>
      <c r="L62">
        <f>IF(A62="","",IF(F62=0,"",(E62*F62+I62)/F62))</f>
        <v/>
      </c>
      <c r="M62">
        <f>IF(A62="","",IF(K62&lt;=0,"Sold Out","Active"))</f>
        <v/>
      </c>
    </row>
    <row r="63">
      <c r="I63">
        <f>IF(A63="","",SUMIFS(Expenses!D:D,Expenses!B:B,A63))</f>
        <v/>
      </c>
      <c r="J63">
        <f>IF(A63="","",SUMIFS(Sales!F:F,Sales!E:E,A63))</f>
        <v/>
      </c>
      <c r="K63">
        <f>IF(A63="","",F63-J63)</f>
        <v/>
      </c>
      <c r="L63">
        <f>IF(A63="","",IF(F63=0,"",(E63*F63+I63)/F63))</f>
        <v/>
      </c>
      <c r="M63">
        <f>IF(A63="","",IF(K63&lt;=0,"Sold Out","Active"))</f>
        <v/>
      </c>
    </row>
    <row r="64">
      <c r="I64">
        <f>IF(A64="","",SUMIFS(Expenses!D:D,Expenses!B:B,A64))</f>
        <v/>
      </c>
      <c r="J64">
        <f>IF(A64="","",SUMIFS(Sales!F:F,Sales!E:E,A64))</f>
        <v/>
      </c>
      <c r="K64">
        <f>IF(A64="","",F64-J64)</f>
        <v/>
      </c>
      <c r="L64">
        <f>IF(A64="","",IF(F64=0,"",(E64*F64+I64)/F64))</f>
        <v/>
      </c>
      <c r="M64">
        <f>IF(A64="","",IF(K64&lt;=0,"Sold Out","Active"))</f>
        <v/>
      </c>
    </row>
    <row r="65">
      <c r="I65">
        <f>IF(A65="","",SUMIFS(Expenses!D:D,Expenses!B:B,A65))</f>
        <v/>
      </c>
      <c r="J65">
        <f>IF(A65="","",SUMIFS(Sales!F:F,Sales!E:E,A65))</f>
        <v/>
      </c>
      <c r="K65">
        <f>IF(A65="","",F65-J65)</f>
        <v/>
      </c>
      <c r="L65">
        <f>IF(A65="","",IF(F65=0,"",(E65*F65+I65)/F65))</f>
        <v/>
      </c>
      <c r="M65">
        <f>IF(A65="","",IF(K65&lt;=0,"Sold Out","Active"))</f>
        <v/>
      </c>
    </row>
    <row r="66">
      <c r="I66">
        <f>IF(A66="","",SUMIFS(Expenses!D:D,Expenses!B:B,A66))</f>
        <v/>
      </c>
      <c r="J66">
        <f>IF(A66="","",SUMIFS(Sales!F:F,Sales!E:E,A66))</f>
        <v/>
      </c>
      <c r="K66">
        <f>IF(A66="","",F66-J66)</f>
        <v/>
      </c>
      <c r="L66">
        <f>IF(A66="","",IF(F66=0,"",(E66*F66+I66)/F66))</f>
        <v/>
      </c>
      <c r="M66">
        <f>IF(A66="","",IF(K66&lt;=0,"Sold Out","Active"))</f>
        <v/>
      </c>
    </row>
    <row r="67">
      <c r="I67">
        <f>IF(A67="","",SUMIFS(Expenses!D:D,Expenses!B:B,A67))</f>
        <v/>
      </c>
      <c r="J67">
        <f>IF(A67="","",SUMIFS(Sales!F:F,Sales!E:E,A67))</f>
        <v/>
      </c>
      <c r="K67">
        <f>IF(A67="","",F67-J67)</f>
        <v/>
      </c>
      <c r="L67">
        <f>IF(A67="","",IF(F67=0,"",(E67*F67+I67)/F67))</f>
        <v/>
      </c>
      <c r="M67">
        <f>IF(A67="","",IF(K67&lt;=0,"Sold Out","Active"))</f>
        <v/>
      </c>
    </row>
    <row r="68">
      <c r="I68">
        <f>IF(A68="","",SUMIFS(Expenses!D:D,Expenses!B:B,A68))</f>
        <v/>
      </c>
      <c r="J68">
        <f>IF(A68="","",SUMIFS(Sales!F:F,Sales!E:E,A68))</f>
        <v/>
      </c>
      <c r="K68">
        <f>IF(A68="","",F68-J68)</f>
        <v/>
      </c>
      <c r="L68">
        <f>IF(A68="","",IF(F68=0,"",(E68*F68+I68)/F68))</f>
        <v/>
      </c>
      <c r="M68">
        <f>IF(A68="","",IF(K68&lt;=0,"Sold Out","Active"))</f>
        <v/>
      </c>
    </row>
    <row r="69">
      <c r="I69">
        <f>IF(A69="","",SUMIFS(Expenses!D:D,Expenses!B:B,A69))</f>
        <v/>
      </c>
      <c r="J69">
        <f>IF(A69="","",SUMIFS(Sales!F:F,Sales!E:E,A69))</f>
        <v/>
      </c>
      <c r="K69">
        <f>IF(A69="","",F69-J69)</f>
        <v/>
      </c>
      <c r="L69">
        <f>IF(A69="","",IF(F69=0,"",(E69*F69+I69)/F69))</f>
        <v/>
      </c>
      <c r="M69">
        <f>IF(A69="","",IF(K69&lt;=0,"Sold Out","Active"))</f>
        <v/>
      </c>
    </row>
    <row r="70">
      <c r="I70">
        <f>IF(A70="","",SUMIFS(Expenses!D:D,Expenses!B:B,A70))</f>
        <v/>
      </c>
      <c r="J70">
        <f>IF(A70="","",SUMIFS(Sales!F:F,Sales!E:E,A70))</f>
        <v/>
      </c>
      <c r="K70">
        <f>IF(A70="","",F70-J70)</f>
        <v/>
      </c>
      <c r="L70">
        <f>IF(A70="","",IF(F70=0,"",(E70*F70+I70)/F70))</f>
        <v/>
      </c>
      <c r="M70">
        <f>IF(A70="","",IF(K70&lt;=0,"Sold Out","Active"))</f>
        <v/>
      </c>
    </row>
    <row r="71">
      <c r="I71">
        <f>IF(A71="","",SUMIFS(Expenses!D:D,Expenses!B:B,A71))</f>
        <v/>
      </c>
      <c r="J71">
        <f>IF(A71="","",SUMIFS(Sales!F:F,Sales!E:E,A71))</f>
        <v/>
      </c>
      <c r="K71">
        <f>IF(A71="","",F71-J71)</f>
        <v/>
      </c>
      <c r="L71">
        <f>IF(A71="","",IF(F71=0,"",(E71*F71+I71)/F71))</f>
        <v/>
      </c>
      <c r="M71">
        <f>IF(A71="","",IF(K71&lt;=0,"Sold Out","Active"))</f>
        <v/>
      </c>
    </row>
    <row r="72">
      <c r="I72">
        <f>IF(A72="","",SUMIFS(Expenses!D:D,Expenses!B:B,A72))</f>
        <v/>
      </c>
      <c r="J72">
        <f>IF(A72="","",SUMIFS(Sales!F:F,Sales!E:E,A72))</f>
        <v/>
      </c>
      <c r="K72">
        <f>IF(A72="","",F72-J72)</f>
        <v/>
      </c>
      <c r="L72">
        <f>IF(A72="","",IF(F72=0,"",(E72*F72+I72)/F72))</f>
        <v/>
      </c>
      <c r="M72">
        <f>IF(A72="","",IF(K72&lt;=0,"Sold Out","Active"))</f>
        <v/>
      </c>
    </row>
    <row r="73">
      <c r="I73">
        <f>IF(A73="","",SUMIFS(Expenses!D:D,Expenses!B:B,A73))</f>
        <v/>
      </c>
      <c r="J73">
        <f>IF(A73="","",SUMIFS(Sales!F:F,Sales!E:E,A73))</f>
        <v/>
      </c>
      <c r="K73">
        <f>IF(A73="","",F73-J73)</f>
        <v/>
      </c>
      <c r="L73">
        <f>IF(A73="","",IF(F73=0,"",(E73*F73+I73)/F73))</f>
        <v/>
      </c>
      <c r="M73">
        <f>IF(A73="","",IF(K73&lt;=0,"Sold Out","Active"))</f>
        <v/>
      </c>
    </row>
    <row r="74">
      <c r="I74">
        <f>IF(A74="","",SUMIFS(Expenses!D:D,Expenses!B:B,A74))</f>
        <v/>
      </c>
      <c r="J74">
        <f>IF(A74="","",SUMIFS(Sales!F:F,Sales!E:E,A74))</f>
        <v/>
      </c>
      <c r="K74">
        <f>IF(A74="","",F74-J74)</f>
        <v/>
      </c>
      <c r="L74">
        <f>IF(A74="","",IF(F74=0,"",(E74*F74+I74)/F74))</f>
        <v/>
      </c>
      <c r="M74">
        <f>IF(A74="","",IF(K74&lt;=0,"Sold Out","Active"))</f>
        <v/>
      </c>
    </row>
    <row r="75">
      <c r="I75">
        <f>IF(A75="","",SUMIFS(Expenses!D:D,Expenses!B:B,A75))</f>
        <v/>
      </c>
      <c r="J75">
        <f>IF(A75="","",SUMIFS(Sales!F:F,Sales!E:E,A75))</f>
        <v/>
      </c>
      <c r="K75">
        <f>IF(A75="","",F75-J75)</f>
        <v/>
      </c>
      <c r="L75">
        <f>IF(A75="","",IF(F75=0,"",(E75*F75+I75)/F75))</f>
        <v/>
      </c>
      <c r="M75">
        <f>IF(A75="","",IF(K75&lt;=0,"Sold Out","Active"))</f>
        <v/>
      </c>
    </row>
    <row r="76">
      <c r="I76">
        <f>IF(A76="","",SUMIFS(Expenses!D:D,Expenses!B:B,A76))</f>
        <v/>
      </c>
      <c r="J76">
        <f>IF(A76="","",SUMIFS(Sales!F:F,Sales!E:E,A76))</f>
        <v/>
      </c>
      <c r="K76">
        <f>IF(A76="","",F76-J76)</f>
        <v/>
      </c>
      <c r="L76">
        <f>IF(A76="","",IF(F76=0,"",(E76*F76+I76)/F76))</f>
        <v/>
      </c>
      <c r="M76">
        <f>IF(A76="","",IF(K76&lt;=0,"Sold Out","Active"))</f>
        <v/>
      </c>
    </row>
    <row r="77">
      <c r="I77">
        <f>IF(A77="","",SUMIFS(Expenses!D:D,Expenses!B:B,A77))</f>
        <v/>
      </c>
      <c r="J77">
        <f>IF(A77="","",SUMIFS(Sales!F:F,Sales!E:E,A77))</f>
        <v/>
      </c>
      <c r="K77">
        <f>IF(A77="","",F77-J77)</f>
        <v/>
      </c>
      <c r="L77">
        <f>IF(A77="","",IF(F77=0,"",(E77*F77+I77)/F77))</f>
        <v/>
      </c>
      <c r="M77">
        <f>IF(A77="","",IF(K77&lt;=0,"Sold Out","Active"))</f>
        <v/>
      </c>
    </row>
    <row r="78">
      <c r="I78">
        <f>IF(A78="","",SUMIFS(Expenses!D:D,Expenses!B:B,A78))</f>
        <v/>
      </c>
      <c r="J78">
        <f>IF(A78="","",SUMIFS(Sales!F:F,Sales!E:E,A78))</f>
        <v/>
      </c>
      <c r="K78">
        <f>IF(A78="","",F78-J78)</f>
        <v/>
      </c>
      <c r="L78">
        <f>IF(A78="","",IF(F78=0,"",(E78*F78+I78)/F78))</f>
        <v/>
      </c>
      <c r="M78">
        <f>IF(A78="","",IF(K78&lt;=0,"Sold Out","Active"))</f>
        <v/>
      </c>
    </row>
    <row r="79">
      <c r="I79">
        <f>IF(A79="","",SUMIFS(Expenses!D:D,Expenses!B:B,A79))</f>
        <v/>
      </c>
      <c r="J79">
        <f>IF(A79="","",SUMIFS(Sales!F:F,Sales!E:E,A79))</f>
        <v/>
      </c>
      <c r="K79">
        <f>IF(A79="","",F79-J79)</f>
        <v/>
      </c>
      <c r="L79">
        <f>IF(A79="","",IF(F79=0,"",(E79*F79+I79)/F79))</f>
        <v/>
      </c>
      <c r="M79">
        <f>IF(A79="","",IF(K79&lt;=0,"Sold Out","Active"))</f>
        <v/>
      </c>
    </row>
    <row r="80">
      <c r="I80">
        <f>IF(A80="","",SUMIFS(Expenses!D:D,Expenses!B:B,A80))</f>
        <v/>
      </c>
      <c r="J80">
        <f>IF(A80="","",SUMIFS(Sales!F:F,Sales!E:E,A80))</f>
        <v/>
      </c>
      <c r="K80">
        <f>IF(A80="","",F80-J80)</f>
        <v/>
      </c>
      <c r="L80">
        <f>IF(A80="","",IF(F80=0,"",(E80*F80+I80)/F80))</f>
        <v/>
      </c>
      <c r="M80">
        <f>IF(A80="","",IF(K80&lt;=0,"Sold Out","Active"))</f>
        <v/>
      </c>
    </row>
    <row r="81">
      <c r="I81">
        <f>IF(A81="","",SUMIFS(Expenses!D:D,Expenses!B:B,A81))</f>
        <v/>
      </c>
      <c r="J81">
        <f>IF(A81="","",SUMIFS(Sales!F:F,Sales!E:E,A81))</f>
        <v/>
      </c>
      <c r="K81">
        <f>IF(A81="","",F81-J81)</f>
        <v/>
      </c>
      <c r="L81">
        <f>IF(A81="","",IF(F81=0,"",(E81*F81+I81)/F81))</f>
        <v/>
      </c>
      <c r="M81">
        <f>IF(A81="","",IF(K81&lt;=0,"Sold Out","Active"))</f>
        <v/>
      </c>
    </row>
    <row r="82">
      <c r="I82">
        <f>IF(A82="","",SUMIFS(Expenses!D:D,Expenses!B:B,A82))</f>
        <v/>
      </c>
      <c r="J82">
        <f>IF(A82="","",SUMIFS(Sales!F:F,Sales!E:E,A82))</f>
        <v/>
      </c>
      <c r="K82">
        <f>IF(A82="","",F82-J82)</f>
        <v/>
      </c>
      <c r="L82">
        <f>IF(A82="","",IF(F82=0,"",(E82*F82+I82)/F82))</f>
        <v/>
      </c>
      <c r="M82">
        <f>IF(A82="","",IF(K82&lt;=0,"Sold Out","Active"))</f>
        <v/>
      </c>
    </row>
    <row r="83">
      <c r="I83">
        <f>IF(A83="","",SUMIFS(Expenses!D:D,Expenses!B:B,A83))</f>
        <v/>
      </c>
      <c r="J83">
        <f>IF(A83="","",SUMIFS(Sales!F:F,Sales!E:E,A83))</f>
        <v/>
      </c>
      <c r="K83">
        <f>IF(A83="","",F83-J83)</f>
        <v/>
      </c>
      <c r="L83">
        <f>IF(A83="","",IF(F83=0,"",(E83*F83+I83)/F83))</f>
        <v/>
      </c>
      <c r="M83">
        <f>IF(A83="","",IF(K83&lt;=0,"Sold Out","Active"))</f>
        <v/>
      </c>
    </row>
    <row r="84">
      <c r="I84">
        <f>IF(A84="","",SUMIFS(Expenses!D:D,Expenses!B:B,A84))</f>
        <v/>
      </c>
      <c r="J84">
        <f>IF(A84="","",SUMIFS(Sales!F:F,Sales!E:E,A84))</f>
        <v/>
      </c>
      <c r="K84">
        <f>IF(A84="","",F84-J84)</f>
        <v/>
      </c>
      <c r="L84">
        <f>IF(A84="","",IF(F84=0,"",(E84*F84+I84)/F84))</f>
        <v/>
      </c>
      <c r="M84">
        <f>IF(A84="","",IF(K84&lt;=0,"Sold Out","Active"))</f>
        <v/>
      </c>
    </row>
    <row r="85">
      <c r="I85">
        <f>IF(A85="","",SUMIFS(Expenses!D:D,Expenses!B:B,A85))</f>
        <v/>
      </c>
      <c r="J85">
        <f>IF(A85="","",SUMIFS(Sales!F:F,Sales!E:E,A85))</f>
        <v/>
      </c>
      <c r="K85">
        <f>IF(A85="","",F85-J85)</f>
        <v/>
      </c>
      <c r="L85">
        <f>IF(A85="","",IF(F85=0,"",(E85*F85+I85)/F85))</f>
        <v/>
      </c>
      <c r="M85">
        <f>IF(A85="","",IF(K85&lt;=0,"Sold Out","Active"))</f>
        <v/>
      </c>
    </row>
    <row r="86">
      <c r="I86">
        <f>IF(A86="","",SUMIFS(Expenses!D:D,Expenses!B:B,A86))</f>
        <v/>
      </c>
      <c r="J86">
        <f>IF(A86="","",SUMIFS(Sales!F:F,Sales!E:E,A86))</f>
        <v/>
      </c>
      <c r="K86">
        <f>IF(A86="","",F86-J86)</f>
        <v/>
      </c>
      <c r="L86">
        <f>IF(A86="","",IF(F86=0,"",(E86*F86+I86)/F86))</f>
        <v/>
      </c>
      <c r="M86">
        <f>IF(A86="","",IF(K86&lt;=0,"Sold Out","Active"))</f>
        <v/>
      </c>
    </row>
    <row r="87">
      <c r="I87">
        <f>IF(A87="","",SUMIFS(Expenses!D:D,Expenses!B:B,A87))</f>
        <v/>
      </c>
      <c r="J87">
        <f>IF(A87="","",SUMIFS(Sales!F:F,Sales!E:E,A87))</f>
        <v/>
      </c>
      <c r="K87">
        <f>IF(A87="","",F87-J87)</f>
        <v/>
      </c>
      <c r="L87">
        <f>IF(A87="","",IF(F87=0,"",(E87*F87+I87)/F87))</f>
        <v/>
      </c>
      <c r="M87">
        <f>IF(A87="","",IF(K87&lt;=0,"Sold Out","Active"))</f>
        <v/>
      </c>
    </row>
    <row r="88">
      <c r="I88">
        <f>IF(A88="","",SUMIFS(Expenses!D:D,Expenses!B:B,A88))</f>
        <v/>
      </c>
      <c r="J88">
        <f>IF(A88="","",SUMIFS(Sales!F:F,Sales!E:E,A88))</f>
        <v/>
      </c>
      <c r="K88">
        <f>IF(A88="","",F88-J88)</f>
        <v/>
      </c>
      <c r="L88">
        <f>IF(A88="","",IF(F88=0,"",(E88*F88+I88)/F88))</f>
        <v/>
      </c>
      <c r="M88">
        <f>IF(A88="","",IF(K88&lt;=0,"Sold Out","Active"))</f>
        <v/>
      </c>
    </row>
    <row r="89">
      <c r="I89">
        <f>IF(A89="","",SUMIFS(Expenses!D:D,Expenses!B:B,A89))</f>
        <v/>
      </c>
      <c r="J89">
        <f>IF(A89="","",SUMIFS(Sales!F:F,Sales!E:E,A89))</f>
        <v/>
      </c>
      <c r="K89">
        <f>IF(A89="","",F89-J89)</f>
        <v/>
      </c>
      <c r="L89">
        <f>IF(A89="","",IF(F89=0,"",(E89*F89+I89)/F89))</f>
        <v/>
      </c>
      <c r="M89">
        <f>IF(A89="","",IF(K89&lt;=0,"Sold Out","Active"))</f>
        <v/>
      </c>
    </row>
    <row r="90">
      <c r="I90">
        <f>IF(A90="","",SUMIFS(Expenses!D:D,Expenses!B:B,A90))</f>
        <v/>
      </c>
      <c r="J90">
        <f>IF(A90="","",SUMIFS(Sales!F:F,Sales!E:E,A90))</f>
        <v/>
      </c>
      <c r="K90">
        <f>IF(A90="","",F90-J90)</f>
        <v/>
      </c>
      <c r="L90">
        <f>IF(A90="","",IF(F90=0,"",(E90*F90+I90)/F90))</f>
        <v/>
      </c>
      <c r="M90">
        <f>IF(A90="","",IF(K90&lt;=0,"Sold Out","Active"))</f>
        <v/>
      </c>
    </row>
    <row r="91">
      <c r="I91">
        <f>IF(A91="","",SUMIFS(Expenses!D:D,Expenses!B:B,A91))</f>
        <v/>
      </c>
      <c r="J91">
        <f>IF(A91="","",SUMIFS(Sales!F:F,Sales!E:E,A91))</f>
        <v/>
      </c>
      <c r="K91">
        <f>IF(A91="","",F91-J91)</f>
        <v/>
      </c>
      <c r="L91">
        <f>IF(A91="","",IF(F91=0,"",(E91*F91+I91)/F91))</f>
        <v/>
      </c>
      <c r="M91">
        <f>IF(A91="","",IF(K91&lt;=0,"Sold Out","Active"))</f>
        <v/>
      </c>
    </row>
    <row r="92">
      <c r="I92">
        <f>IF(A92="","",SUMIFS(Expenses!D:D,Expenses!B:B,A92))</f>
        <v/>
      </c>
      <c r="J92">
        <f>IF(A92="","",SUMIFS(Sales!F:F,Sales!E:E,A92))</f>
        <v/>
      </c>
      <c r="K92">
        <f>IF(A92="","",F92-J92)</f>
        <v/>
      </c>
      <c r="L92">
        <f>IF(A92="","",IF(F92=0,"",(E92*F92+I92)/F92))</f>
        <v/>
      </c>
      <c r="M92">
        <f>IF(A92="","",IF(K92&lt;=0,"Sold Out","Active"))</f>
        <v/>
      </c>
    </row>
    <row r="93">
      <c r="I93">
        <f>IF(A93="","",SUMIFS(Expenses!D:D,Expenses!B:B,A93))</f>
        <v/>
      </c>
      <c r="J93">
        <f>IF(A93="","",SUMIFS(Sales!F:F,Sales!E:E,A93))</f>
        <v/>
      </c>
      <c r="K93">
        <f>IF(A93="","",F93-J93)</f>
        <v/>
      </c>
      <c r="L93">
        <f>IF(A93="","",IF(F93=0,"",(E93*F93+I93)/F93))</f>
        <v/>
      </c>
      <c r="M93">
        <f>IF(A93="","",IF(K93&lt;=0,"Sold Out","Active"))</f>
        <v/>
      </c>
    </row>
    <row r="94">
      <c r="I94">
        <f>IF(A94="","",SUMIFS(Expenses!D:D,Expenses!B:B,A94))</f>
        <v/>
      </c>
      <c r="J94">
        <f>IF(A94="","",SUMIFS(Sales!F:F,Sales!E:E,A94))</f>
        <v/>
      </c>
      <c r="K94">
        <f>IF(A94="","",F94-J94)</f>
        <v/>
      </c>
      <c r="L94">
        <f>IF(A94="","",IF(F94=0,"",(E94*F94+I94)/F94))</f>
        <v/>
      </c>
      <c r="M94">
        <f>IF(A94="","",IF(K94&lt;=0,"Sold Out","Active"))</f>
        <v/>
      </c>
    </row>
    <row r="95">
      <c r="I95">
        <f>IF(A95="","",SUMIFS(Expenses!D:D,Expenses!B:B,A95))</f>
        <v/>
      </c>
      <c r="J95">
        <f>IF(A95="","",SUMIFS(Sales!F:F,Sales!E:E,A95))</f>
        <v/>
      </c>
      <c r="K95">
        <f>IF(A95="","",F95-J95)</f>
        <v/>
      </c>
      <c r="L95">
        <f>IF(A95="","",IF(F95=0,"",(E95*F95+I95)/F95))</f>
        <v/>
      </c>
      <c r="M95">
        <f>IF(A95="","",IF(K95&lt;=0,"Sold Out","Active"))</f>
        <v/>
      </c>
    </row>
    <row r="96">
      <c r="I96">
        <f>IF(A96="","",SUMIFS(Expenses!D:D,Expenses!B:B,A96))</f>
        <v/>
      </c>
      <c r="J96">
        <f>IF(A96="","",SUMIFS(Sales!F:F,Sales!E:E,A96))</f>
        <v/>
      </c>
      <c r="K96">
        <f>IF(A96="","",F96-J96)</f>
        <v/>
      </c>
      <c r="L96">
        <f>IF(A96="","",IF(F96=0,"",(E96*F96+I96)/F96))</f>
        <v/>
      </c>
      <c r="M96">
        <f>IF(A96="","",IF(K96&lt;=0,"Sold Out","Active"))</f>
        <v/>
      </c>
    </row>
    <row r="97">
      <c r="I97">
        <f>IF(A97="","",SUMIFS(Expenses!D:D,Expenses!B:B,A97))</f>
        <v/>
      </c>
      <c r="J97">
        <f>IF(A97="","",SUMIFS(Sales!F:F,Sales!E:E,A97))</f>
        <v/>
      </c>
      <c r="K97">
        <f>IF(A97="","",F97-J97)</f>
        <v/>
      </c>
      <c r="L97">
        <f>IF(A97="","",IF(F97=0,"",(E97*F97+I97)/F97))</f>
        <v/>
      </c>
      <c r="M97">
        <f>IF(A97="","",IF(K97&lt;=0,"Sold Out","Active"))</f>
        <v/>
      </c>
    </row>
    <row r="98">
      <c r="I98">
        <f>IF(A98="","",SUMIFS(Expenses!D:D,Expenses!B:B,A98))</f>
        <v/>
      </c>
      <c r="J98">
        <f>IF(A98="","",SUMIFS(Sales!F:F,Sales!E:E,A98))</f>
        <v/>
      </c>
      <c r="K98">
        <f>IF(A98="","",F98-J98)</f>
        <v/>
      </c>
      <c r="L98">
        <f>IF(A98="","",IF(F98=0,"",(E98*F98+I98)/F98))</f>
        <v/>
      </c>
      <c r="M98">
        <f>IF(A98="","",IF(K98&lt;=0,"Sold Out","Active"))</f>
        <v/>
      </c>
    </row>
    <row r="99">
      <c r="I99">
        <f>IF(A99="","",SUMIFS(Expenses!D:D,Expenses!B:B,A99))</f>
        <v/>
      </c>
      <c r="J99">
        <f>IF(A99="","",SUMIFS(Sales!F:F,Sales!E:E,A99))</f>
        <v/>
      </c>
      <c r="K99">
        <f>IF(A99="","",F99-J99)</f>
        <v/>
      </c>
      <c r="L99">
        <f>IF(A99="","",IF(F99=0,"",(E99*F99+I99)/F99))</f>
        <v/>
      </c>
      <c r="M99">
        <f>IF(A99="","",IF(K99&lt;=0,"Sold Out","Active"))</f>
        <v/>
      </c>
    </row>
    <row r="100">
      <c r="I100">
        <f>IF(A100="","",SUMIFS(Expenses!D:D,Expenses!B:B,A100))</f>
        <v/>
      </c>
      <c r="J100">
        <f>IF(A100="","",SUMIFS(Sales!F:F,Sales!E:E,A100))</f>
        <v/>
      </c>
      <c r="K100">
        <f>IF(A100="","",F100-J100)</f>
        <v/>
      </c>
      <c r="L100">
        <f>IF(A100="","",IF(F100=0,"",(E100*F100+I100)/F100))</f>
        <v/>
      </c>
      <c r="M100">
        <f>IF(A100="","",IF(K100&lt;=0,"Sold Out","Active"))</f>
        <v/>
      </c>
    </row>
    <row r="101">
      <c r="I101">
        <f>IF(A101="","",SUMIFS(Expenses!D:D,Expenses!B:B,A101))</f>
        <v/>
      </c>
      <c r="J101">
        <f>IF(A101="","",SUMIFS(Sales!F:F,Sales!E:E,A101))</f>
        <v/>
      </c>
      <c r="K101">
        <f>IF(A101="","",F101-J101)</f>
        <v/>
      </c>
      <c r="L101">
        <f>IF(A101="","",IF(F101=0,"",(E101*F101+I101)/F101))</f>
        <v/>
      </c>
      <c r="M101">
        <f>IF(A101="","",IF(K101&lt;=0,"Sold Out","Active"))</f>
        <v/>
      </c>
    </row>
    <row r="102">
      <c r="I102">
        <f>IF(A102="","",SUMIFS(Expenses!D:D,Expenses!B:B,A102))</f>
        <v/>
      </c>
      <c r="J102">
        <f>IF(A102="","",SUMIFS(Sales!F:F,Sales!E:E,A102))</f>
        <v/>
      </c>
      <c r="K102">
        <f>IF(A102="","",F102-J102)</f>
        <v/>
      </c>
      <c r="L102">
        <f>IF(A102="","",IF(F102=0,"",(E102*F102+I102)/F102))</f>
        <v/>
      </c>
      <c r="M102">
        <f>IF(A102="","",IF(K102&lt;=0,"Sold Out","Active"))</f>
        <v/>
      </c>
    </row>
    <row r="103">
      <c r="I103">
        <f>IF(A103="","",SUMIFS(Expenses!D:D,Expenses!B:B,A103))</f>
        <v/>
      </c>
      <c r="J103">
        <f>IF(A103="","",SUMIFS(Sales!F:F,Sales!E:E,A103))</f>
        <v/>
      </c>
      <c r="K103">
        <f>IF(A103="","",F103-J103)</f>
        <v/>
      </c>
      <c r="L103">
        <f>IF(A103="","",IF(F103=0,"",(E103*F103+I103)/F103))</f>
        <v/>
      </c>
      <c r="M103">
        <f>IF(A103="","",IF(K103&lt;=0,"Sold Out","Active"))</f>
        <v/>
      </c>
    </row>
    <row r="104">
      <c r="I104">
        <f>IF(A104="","",SUMIFS(Expenses!D:D,Expenses!B:B,A104))</f>
        <v/>
      </c>
      <c r="J104">
        <f>IF(A104="","",SUMIFS(Sales!F:F,Sales!E:E,A104))</f>
        <v/>
      </c>
      <c r="K104">
        <f>IF(A104="","",F104-J104)</f>
        <v/>
      </c>
      <c r="L104">
        <f>IF(A104="","",IF(F104=0,"",(E104*F104+I104)/F104))</f>
        <v/>
      </c>
      <c r="M104">
        <f>IF(A104="","",IF(K104&lt;=0,"Sold Out","Active"))</f>
        <v/>
      </c>
    </row>
    <row r="105">
      <c r="I105">
        <f>IF(A105="","",SUMIFS(Expenses!D:D,Expenses!B:B,A105))</f>
        <v/>
      </c>
      <c r="J105">
        <f>IF(A105="","",SUMIFS(Sales!F:F,Sales!E:E,A105))</f>
        <v/>
      </c>
      <c r="K105">
        <f>IF(A105="","",F105-J105)</f>
        <v/>
      </c>
      <c r="L105">
        <f>IF(A105="","",IF(F105=0,"",(E105*F105+I105)/F105))</f>
        <v/>
      </c>
      <c r="M105">
        <f>IF(A105="","",IF(K105&lt;=0,"Sold Out","Active"))</f>
        <v/>
      </c>
    </row>
    <row r="106">
      <c r="I106">
        <f>IF(A106="","",SUMIFS(Expenses!D:D,Expenses!B:B,A106))</f>
        <v/>
      </c>
      <c r="J106">
        <f>IF(A106="","",SUMIFS(Sales!F:F,Sales!E:E,A106))</f>
        <v/>
      </c>
      <c r="K106">
        <f>IF(A106="","",F106-J106)</f>
        <v/>
      </c>
      <c r="L106">
        <f>IF(A106="","",IF(F106=0,"",(E106*F106+I106)/F106))</f>
        <v/>
      </c>
      <c r="M106">
        <f>IF(A106="","",IF(K106&lt;=0,"Sold Out","Active"))</f>
        <v/>
      </c>
    </row>
    <row r="107">
      <c r="I107">
        <f>IF(A107="","",SUMIFS(Expenses!D:D,Expenses!B:B,A107))</f>
        <v/>
      </c>
      <c r="J107">
        <f>IF(A107="","",SUMIFS(Sales!F:F,Sales!E:E,A107))</f>
        <v/>
      </c>
      <c r="K107">
        <f>IF(A107="","",F107-J107)</f>
        <v/>
      </c>
      <c r="L107">
        <f>IF(A107="","",IF(F107=0,"",(E107*F107+I107)/F107))</f>
        <v/>
      </c>
      <c r="M107">
        <f>IF(A107="","",IF(K107&lt;=0,"Sold Out","Active"))</f>
        <v/>
      </c>
    </row>
    <row r="108">
      <c r="I108">
        <f>IF(A108="","",SUMIFS(Expenses!D:D,Expenses!B:B,A108))</f>
        <v/>
      </c>
      <c r="J108">
        <f>IF(A108="","",SUMIFS(Sales!F:F,Sales!E:E,A108))</f>
        <v/>
      </c>
      <c r="K108">
        <f>IF(A108="","",F108-J108)</f>
        <v/>
      </c>
      <c r="L108">
        <f>IF(A108="","",IF(F108=0,"",(E108*F108+I108)/F108))</f>
        <v/>
      </c>
      <c r="M108">
        <f>IF(A108="","",IF(K108&lt;=0,"Sold Out","Active"))</f>
        <v/>
      </c>
    </row>
    <row r="109">
      <c r="I109">
        <f>IF(A109="","",SUMIFS(Expenses!D:D,Expenses!B:B,A109))</f>
        <v/>
      </c>
      <c r="J109">
        <f>IF(A109="","",SUMIFS(Sales!F:F,Sales!E:E,A109))</f>
        <v/>
      </c>
      <c r="K109">
        <f>IF(A109="","",F109-J109)</f>
        <v/>
      </c>
      <c r="L109">
        <f>IF(A109="","",IF(F109=0,"",(E109*F109+I109)/F109))</f>
        <v/>
      </c>
      <c r="M109">
        <f>IF(A109="","",IF(K109&lt;=0,"Sold Out","Active"))</f>
        <v/>
      </c>
    </row>
    <row r="110">
      <c r="I110">
        <f>IF(A110="","",SUMIFS(Expenses!D:D,Expenses!B:B,A110))</f>
        <v/>
      </c>
      <c r="J110">
        <f>IF(A110="","",SUMIFS(Sales!F:F,Sales!E:E,A110))</f>
        <v/>
      </c>
      <c r="K110">
        <f>IF(A110="","",F110-J110)</f>
        <v/>
      </c>
      <c r="L110">
        <f>IF(A110="","",IF(F110=0,"",(E110*F110+I110)/F110))</f>
        <v/>
      </c>
      <c r="M110">
        <f>IF(A110="","",IF(K110&lt;=0,"Sold Out","Active"))</f>
        <v/>
      </c>
    </row>
    <row r="111">
      <c r="I111">
        <f>IF(A111="","",SUMIFS(Expenses!D:D,Expenses!B:B,A111))</f>
        <v/>
      </c>
      <c r="J111">
        <f>IF(A111="","",SUMIFS(Sales!F:F,Sales!E:E,A111))</f>
        <v/>
      </c>
      <c r="K111">
        <f>IF(A111="","",F111-J111)</f>
        <v/>
      </c>
      <c r="L111">
        <f>IF(A111="","",IF(F111=0,"",(E111*F111+I111)/F111))</f>
        <v/>
      </c>
      <c r="M111">
        <f>IF(A111="","",IF(K111&lt;=0,"Sold Out","Active"))</f>
        <v/>
      </c>
    </row>
    <row r="112">
      <c r="I112">
        <f>IF(A112="","",SUMIFS(Expenses!D:D,Expenses!B:B,A112))</f>
        <v/>
      </c>
      <c r="J112">
        <f>IF(A112="","",SUMIFS(Sales!F:F,Sales!E:E,A112))</f>
        <v/>
      </c>
      <c r="K112">
        <f>IF(A112="","",F112-J112)</f>
        <v/>
      </c>
      <c r="L112">
        <f>IF(A112="","",IF(F112=0,"",(E112*F112+I112)/F112))</f>
        <v/>
      </c>
      <c r="M112">
        <f>IF(A112="","",IF(K112&lt;=0,"Sold Out","Active"))</f>
        <v/>
      </c>
    </row>
    <row r="113">
      <c r="I113">
        <f>IF(A113="","",SUMIFS(Expenses!D:D,Expenses!B:B,A113))</f>
        <v/>
      </c>
      <c r="J113">
        <f>IF(A113="","",SUMIFS(Sales!F:F,Sales!E:E,A113))</f>
        <v/>
      </c>
      <c r="K113">
        <f>IF(A113="","",F113-J113)</f>
        <v/>
      </c>
      <c r="L113">
        <f>IF(A113="","",IF(F113=0,"",(E113*F113+I113)/F113))</f>
        <v/>
      </c>
      <c r="M113">
        <f>IF(A113="","",IF(K113&lt;=0,"Sold Out","Active"))</f>
        <v/>
      </c>
    </row>
    <row r="114">
      <c r="I114">
        <f>IF(A114="","",SUMIFS(Expenses!D:D,Expenses!B:B,A114))</f>
        <v/>
      </c>
      <c r="J114">
        <f>IF(A114="","",SUMIFS(Sales!F:F,Sales!E:E,A114))</f>
        <v/>
      </c>
      <c r="K114">
        <f>IF(A114="","",F114-J114)</f>
        <v/>
      </c>
      <c r="L114">
        <f>IF(A114="","",IF(F114=0,"",(E114*F114+I114)/F114))</f>
        <v/>
      </c>
      <c r="M114">
        <f>IF(A114="","",IF(K114&lt;=0,"Sold Out","Active"))</f>
        <v/>
      </c>
    </row>
    <row r="115">
      <c r="I115">
        <f>IF(A115="","",SUMIFS(Expenses!D:D,Expenses!B:B,A115))</f>
        <v/>
      </c>
      <c r="J115">
        <f>IF(A115="","",SUMIFS(Sales!F:F,Sales!E:E,A115))</f>
        <v/>
      </c>
      <c r="K115">
        <f>IF(A115="","",F115-J115)</f>
        <v/>
      </c>
      <c r="L115">
        <f>IF(A115="","",IF(F115=0,"",(E115*F115+I115)/F115))</f>
        <v/>
      </c>
      <c r="M115">
        <f>IF(A115="","",IF(K115&lt;=0,"Sold Out","Active"))</f>
        <v/>
      </c>
    </row>
    <row r="116">
      <c r="I116">
        <f>IF(A116="","",SUMIFS(Expenses!D:D,Expenses!B:B,A116))</f>
        <v/>
      </c>
      <c r="J116">
        <f>IF(A116="","",SUMIFS(Sales!F:F,Sales!E:E,A116))</f>
        <v/>
      </c>
      <c r="K116">
        <f>IF(A116="","",F116-J116)</f>
        <v/>
      </c>
      <c r="L116">
        <f>IF(A116="","",IF(F116=0,"",(E116*F116+I116)/F116))</f>
        <v/>
      </c>
      <c r="M116">
        <f>IF(A116="","",IF(K116&lt;=0,"Sold Out","Active"))</f>
        <v/>
      </c>
    </row>
    <row r="117">
      <c r="I117">
        <f>IF(A117="","",SUMIFS(Expenses!D:D,Expenses!B:B,A117))</f>
        <v/>
      </c>
      <c r="J117">
        <f>IF(A117="","",SUMIFS(Sales!F:F,Sales!E:E,A117))</f>
        <v/>
      </c>
      <c r="K117">
        <f>IF(A117="","",F117-J117)</f>
        <v/>
      </c>
      <c r="L117">
        <f>IF(A117="","",IF(F117=0,"",(E117*F117+I117)/F117))</f>
        <v/>
      </c>
      <c r="M117">
        <f>IF(A117="","",IF(K117&lt;=0,"Sold Out","Active"))</f>
        <v/>
      </c>
    </row>
    <row r="118">
      <c r="I118">
        <f>IF(A118="","",SUMIFS(Expenses!D:D,Expenses!B:B,A118))</f>
        <v/>
      </c>
      <c r="J118">
        <f>IF(A118="","",SUMIFS(Sales!F:F,Sales!E:E,A118))</f>
        <v/>
      </c>
      <c r="K118">
        <f>IF(A118="","",F118-J118)</f>
        <v/>
      </c>
      <c r="L118">
        <f>IF(A118="","",IF(F118=0,"",(E118*F118+I118)/F118))</f>
        <v/>
      </c>
      <c r="M118">
        <f>IF(A118="","",IF(K118&lt;=0,"Sold Out","Active"))</f>
        <v/>
      </c>
    </row>
    <row r="119">
      <c r="I119">
        <f>IF(A119="","",SUMIFS(Expenses!D:D,Expenses!B:B,A119))</f>
        <v/>
      </c>
      <c r="J119">
        <f>IF(A119="","",SUMIFS(Sales!F:F,Sales!E:E,A119))</f>
        <v/>
      </c>
      <c r="K119">
        <f>IF(A119="","",F119-J119)</f>
        <v/>
      </c>
      <c r="L119">
        <f>IF(A119="","",IF(F119=0,"",(E119*F119+I119)/F119))</f>
        <v/>
      </c>
      <c r="M119">
        <f>IF(A119="","",IF(K119&lt;=0,"Sold Out","Active"))</f>
        <v/>
      </c>
    </row>
    <row r="120">
      <c r="I120">
        <f>IF(A120="","",SUMIFS(Expenses!D:D,Expenses!B:B,A120))</f>
        <v/>
      </c>
      <c r="J120">
        <f>IF(A120="","",SUMIFS(Sales!F:F,Sales!E:E,A120))</f>
        <v/>
      </c>
      <c r="K120">
        <f>IF(A120="","",F120-J120)</f>
        <v/>
      </c>
      <c r="L120">
        <f>IF(A120="","",IF(F120=0,"",(E120*F120+I120)/F120))</f>
        <v/>
      </c>
      <c r="M120">
        <f>IF(A120="","",IF(K120&lt;=0,"Sold Out","Active"))</f>
        <v/>
      </c>
    </row>
    <row r="121">
      <c r="I121">
        <f>IF(A121="","",SUMIFS(Expenses!D:D,Expenses!B:B,A121))</f>
        <v/>
      </c>
      <c r="J121">
        <f>IF(A121="","",SUMIFS(Sales!F:F,Sales!E:E,A121))</f>
        <v/>
      </c>
      <c r="K121">
        <f>IF(A121="","",F121-J121)</f>
        <v/>
      </c>
      <c r="L121">
        <f>IF(A121="","",IF(F121=0,"",(E121*F121+I121)/F121))</f>
        <v/>
      </c>
      <c r="M121">
        <f>IF(A121="","",IF(K121&lt;=0,"Sold Out","Active"))</f>
        <v/>
      </c>
    </row>
    <row r="122">
      <c r="I122">
        <f>IF(A122="","",SUMIFS(Expenses!D:D,Expenses!B:B,A122))</f>
        <v/>
      </c>
      <c r="J122">
        <f>IF(A122="","",SUMIFS(Sales!F:F,Sales!E:E,A122))</f>
        <v/>
      </c>
      <c r="K122">
        <f>IF(A122="","",F122-J122)</f>
        <v/>
      </c>
      <c r="L122">
        <f>IF(A122="","",IF(F122=0,"",(E122*F122+I122)/F122))</f>
        <v/>
      </c>
      <c r="M122">
        <f>IF(A122="","",IF(K122&lt;=0,"Sold Out","Active"))</f>
        <v/>
      </c>
    </row>
    <row r="123">
      <c r="I123">
        <f>IF(A123="","",SUMIFS(Expenses!D:D,Expenses!B:B,A123))</f>
        <v/>
      </c>
      <c r="J123">
        <f>IF(A123="","",SUMIFS(Sales!F:F,Sales!E:E,A123))</f>
        <v/>
      </c>
      <c r="K123">
        <f>IF(A123="","",F123-J123)</f>
        <v/>
      </c>
      <c r="L123">
        <f>IF(A123="","",IF(F123=0,"",(E123*F123+I123)/F123))</f>
        <v/>
      </c>
      <c r="M123">
        <f>IF(A123="","",IF(K123&lt;=0,"Sold Out","Active"))</f>
        <v/>
      </c>
    </row>
    <row r="124">
      <c r="I124">
        <f>IF(A124="","",SUMIFS(Expenses!D:D,Expenses!B:B,A124))</f>
        <v/>
      </c>
      <c r="J124">
        <f>IF(A124="","",SUMIFS(Sales!F:F,Sales!E:E,A124))</f>
        <v/>
      </c>
      <c r="K124">
        <f>IF(A124="","",F124-J124)</f>
        <v/>
      </c>
      <c r="L124">
        <f>IF(A124="","",IF(F124=0,"",(E124*F124+I124)/F124))</f>
        <v/>
      </c>
      <c r="M124">
        <f>IF(A124="","",IF(K124&lt;=0,"Sold Out","Active"))</f>
        <v/>
      </c>
    </row>
    <row r="125">
      <c r="I125">
        <f>IF(A125="","",SUMIFS(Expenses!D:D,Expenses!B:B,A125))</f>
        <v/>
      </c>
      <c r="J125">
        <f>IF(A125="","",SUMIFS(Sales!F:F,Sales!E:E,A125))</f>
        <v/>
      </c>
      <c r="K125">
        <f>IF(A125="","",F125-J125)</f>
        <v/>
      </c>
      <c r="L125">
        <f>IF(A125="","",IF(F125=0,"",(E125*F125+I125)/F125))</f>
        <v/>
      </c>
      <c r="M125">
        <f>IF(A125="","",IF(K125&lt;=0,"Sold Out","Active"))</f>
        <v/>
      </c>
    </row>
    <row r="126">
      <c r="I126">
        <f>IF(A126="","",SUMIFS(Expenses!D:D,Expenses!B:B,A126))</f>
        <v/>
      </c>
      <c r="J126">
        <f>IF(A126="","",SUMIFS(Sales!F:F,Sales!E:E,A126))</f>
        <v/>
      </c>
      <c r="K126">
        <f>IF(A126="","",F126-J126)</f>
        <v/>
      </c>
      <c r="L126">
        <f>IF(A126="","",IF(F126=0,"",(E126*F126+I126)/F126))</f>
        <v/>
      </c>
      <c r="M126">
        <f>IF(A126="","",IF(K126&lt;=0,"Sold Out","Active"))</f>
        <v/>
      </c>
    </row>
    <row r="127">
      <c r="I127">
        <f>IF(A127="","",SUMIFS(Expenses!D:D,Expenses!B:B,A127))</f>
        <v/>
      </c>
      <c r="J127">
        <f>IF(A127="","",SUMIFS(Sales!F:F,Sales!E:E,A127))</f>
        <v/>
      </c>
      <c r="K127">
        <f>IF(A127="","",F127-J127)</f>
        <v/>
      </c>
      <c r="L127">
        <f>IF(A127="","",IF(F127=0,"",(E127*F127+I127)/F127))</f>
        <v/>
      </c>
      <c r="M127">
        <f>IF(A127="","",IF(K127&lt;=0,"Sold Out","Active"))</f>
        <v/>
      </c>
    </row>
    <row r="128">
      <c r="I128">
        <f>IF(A128="","",SUMIFS(Expenses!D:D,Expenses!B:B,A128))</f>
        <v/>
      </c>
      <c r="J128">
        <f>IF(A128="","",SUMIFS(Sales!F:F,Sales!E:E,A128))</f>
        <v/>
      </c>
      <c r="K128">
        <f>IF(A128="","",F128-J128)</f>
        <v/>
      </c>
      <c r="L128">
        <f>IF(A128="","",IF(F128=0,"",(E128*F128+I128)/F128))</f>
        <v/>
      </c>
      <c r="M128">
        <f>IF(A128="","",IF(K128&lt;=0,"Sold Out","Active"))</f>
        <v/>
      </c>
    </row>
    <row r="129">
      <c r="I129">
        <f>IF(A129="","",SUMIFS(Expenses!D:D,Expenses!B:B,A129))</f>
        <v/>
      </c>
      <c r="J129">
        <f>IF(A129="","",SUMIFS(Sales!F:F,Sales!E:E,A129))</f>
        <v/>
      </c>
      <c r="K129">
        <f>IF(A129="","",F129-J129)</f>
        <v/>
      </c>
      <c r="L129">
        <f>IF(A129="","",IF(F129=0,"",(E129*F129+I129)/F129))</f>
        <v/>
      </c>
      <c r="M129">
        <f>IF(A129="","",IF(K129&lt;=0,"Sold Out","Active"))</f>
        <v/>
      </c>
    </row>
    <row r="130">
      <c r="I130">
        <f>IF(A130="","",SUMIFS(Expenses!D:D,Expenses!B:B,A130))</f>
        <v/>
      </c>
      <c r="J130">
        <f>IF(A130="","",SUMIFS(Sales!F:F,Sales!E:E,A130))</f>
        <v/>
      </c>
      <c r="K130">
        <f>IF(A130="","",F130-J130)</f>
        <v/>
      </c>
      <c r="L130">
        <f>IF(A130="","",IF(F130=0,"",(E130*F130+I130)/F130))</f>
        <v/>
      </c>
      <c r="M130">
        <f>IF(A130="","",IF(K130&lt;=0,"Sold Out","Active"))</f>
        <v/>
      </c>
    </row>
    <row r="131">
      <c r="I131">
        <f>IF(A131="","",SUMIFS(Expenses!D:D,Expenses!B:B,A131))</f>
        <v/>
      </c>
      <c r="J131">
        <f>IF(A131="","",SUMIFS(Sales!F:F,Sales!E:E,A131))</f>
        <v/>
      </c>
      <c r="K131">
        <f>IF(A131="","",F131-J131)</f>
        <v/>
      </c>
      <c r="L131">
        <f>IF(A131="","",IF(F131=0,"",(E131*F131+I131)/F131))</f>
        <v/>
      </c>
      <c r="M131">
        <f>IF(A131="","",IF(K131&lt;=0,"Sold Out","Active"))</f>
        <v/>
      </c>
    </row>
    <row r="132">
      <c r="I132">
        <f>IF(A132="","",SUMIFS(Expenses!D:D,Expenses!B:B,A132))</f>
        <v/>
      </c>
      <c r="J132">
        <f>IF(A132="","",SUMIFS(Sales!F:F,Sales!E:E,A132))</f>
        <v/>
      </c>
      <c r="K132">
        <f>IF(A132="","",F132-J132)</f>
        <v/>
      </c>
      <c r="L132">
        <f>IF(A132="","",IF(F132=0,"",(E132*F132+I132)/F132))</f>
        <v/>
      </c>
      <c r="M132">
        <f>IF(A132="","",IF(K132&lt;=0,"Sold Out","Active"))</f>
        <v/>
      </c>
    </row>
    <row r="133">
      <c r="I133">
        <f>IF(A133="","",SUMIFS(Expenses!D:D,Expenses!B:B,A133))</f>
        <v/>
      </c>
      <c r="J133">
        <f>IF(A133="","",SUMIFS(Sales!F:F,Sales!E:E,A133))</f>
        <v/>
      </c>
      <c r="K133">
        <f>IF(A133="","",F133-J133)</f>
        <v/>
      </c>
      <c r="L133">
        <f>IF(A133="","",IF(F133=0,"",(E133*F133+I133)/F133))</f>
        <v/>
      </c>
      <c r="M133">
        <f>IF(A133="","",IF(K133&lt;=0,"Sold Out","Active"))</f>
        <v/>
      </c>
    </row>
    <row r="134">
      <c r="I134">
        <f>IF(A134="","",SUMIFS(Expenses!D:D,Expenses!B:B,A134))</f>
        <v/>
      </c>
      <c r="J134">
        <f>IF(A134="","",SUMIFS(Sales!F:F,Sales!E:E,A134))</f>
        <v/>
      </c>
      <c r="K134">
        <f>IF(A134="","",F134-J134)</f>
        <v/>
      </c>
      <c r="L134">
        <f>IF(A134="","",IF(F134=0,"",(E134*F134+I134)/F134))</f>
        <v/>
      </c>
      <c r="M134">
        <f>IF(A134="","",IF(K134&lt;=0,"Sold Out","Active"))</f>
        <v/>
      </c>
    </row>
    <row r="135">
      <c r="I135">
        <f>IF(A135="","",SUMIFS(Expenses!D:D,Expenses!B:B,A135))</f>
        <v/>
      </c>
      <c r="J135">
        <f>IF(A135="","",SUMIFS(Sales!F:F,Sales!E:E,A135))</f>
        <v/>
      </c>
      <c r="K135">
        <f>IF(A135="","",F135-J135)</f>
        <v/>
      </c>
      <c r="L135">
        <f>IF(A135="","",IF(F135=0,"",(E135*F135+I135)/F135))</f>
        <v/>
      </c>
      <c r="M135">
        <f>IF(A135="","",IF(K135&lt;=0,"Sold Out","Active"))</f>
        <v/>
      </c>
    </row>
    <row r="136">
      <c r="I136">
        <f>IF(A136="","",SUMIFS(Expenses!D:D,Expenses!B:B,A136))</f>
        <v/>
      </c>
      <c r="J136">
        <f>IF(A136="","",SUMIFS(Sales!F:F,Sales!E:E,A136))</f>
        <v/>
      </c>
      <c r="K136">
        <f>IF(A136="","",F136-J136)</f>
        <v/>
      </c>
      <c r="L136">
        <f>IF(A136="","",IF(F136=0,"",(E136*F136+I136)/F136))</f>
        <v/>
      </c>
      <c r="M136">
        <f>IF(A136="","",IF(K136&lt;=0,"Sold Out","Active"))</f>
        <v/>
      </c>
    </row>
    <row r="137">
      <c r="I137">
        <f>IF(A137="","",SUMIFS(Expenses!D:D,Expenses!B:B,A137))</f>
        <v/>
      </c>
      <c r="J137">
        <f>IF(A137="","",SUMIFS(Sales!F:F,Sales!E:E,A137))</f>
        <v/>
      </c>
      <c r="K137">
        <f>IF(A137="","",F137-J137)</f>
        <v/>
      </c>
      <c r="L137">
        <f>IF(A137="","",IF(F137=0,"",(E137*F137+I137)/F137))</f>
        <v/>
      </c>
      <c r="M137">
        <f>IF(A137="","",IF(K137&lt;=0,"Sold Out","Active"))</f>
        <v/>
      </c>
    </row>
    <row r="138">
      <c r="I138">
        <f>IF(A138="","",SUMIFS(Expenses!D:D,Expenses!B:B,A138))</f>
        <v/>
      </c>
      <c r="J138">
        <f>IF(A138="","",SUMIFS(Sales!F:F,Sales!E:E,A138))</f>
        <v/>
      </c>
      <c r="K138">
        <f>IF(A138="","",F138-J138)</f>
        <v/>
      </c>
      <c r="L138">
        <f>IF(A138="","",IF(F138=0,"",(E138*F138+I138)/F138))</f>
        <v/>
      </c>
      <c r="M138">
        <f>IF(A138="","",IF(K138&lt;=0,"Sold Out","Active"))</f>
        <v/>
      </c>
    </row>
    <row r="139">
      <c r="I139">
        <f>IF(A139="","",SUMIFS(Expenses!D:D,Expenses!B:B,A139))</f>
        <v/>
      </c>
      <c r="J139">
        <f>IF(A139="","",SUMIFS(Sales!F:F,Sales!E:E,A139))</f>
        <v/>
      </c>
      <c r="K139">
        <f>IF(A139="","",F139-J139)</f>
        <v/>
      </c>
      <c r="L139">
        <f>IF(A139="","",IF(F139=0,"",(E139*F139+I139)/F139))</f>
        <v/>
      </c>
      <c r="M139">
        <f>IF(A139="","",IF(K139&lt;=0,"Sold Out","Active"))</f>
        <v/>
      </c>
    </row>
    <row r="140">
      <c r="I140">
        <f>IF(A140="","",SUMIFS(Expenses!D:D,Expenses!B:B,A140))</f>
        <v/>
      </c>
      <c r="J140">
        <f>IF(A140="","",SUMIFS(Sales!F:F,Sales!E:E,A140))</f>
        <v/>
      </c>
      <c r="K140">
        <f>IF(A140="","",F140-J140)</f>
        <v/>
      </c>
      <c r="L140">
        <f>IF(A140="","",IF(F140=0,"",(E140*F140+I140)/F140))</f>
        <v/>
      </c>
      <c r="M140">
        <f>IF(A140="","",IF(K140&lt;=0,"Sold Out","Active"))</f>
        <v/>
      </c>
    </row>
    <row r="141">
      <c r="I141">
        <f>IF(A141="","",SUMIFS(Expenses!D:D,Expenses!B:B,A141))</f>
        <v/>
      </c>
      <c r="J141">
        <f>IF(A141="","",SUMIFS(Sales!F:F,Sales!E:E,A141))</f>
        <v/>
      </c>
      <c r="K141">
        <f>IF(A141="","",F141-J141)</f>
        <v/>
      </c>
      <c r="L141">
        <f>IF(A141="","",IF(F141=0,"",(E141*F141+I141)/F141))</f>
        <v/>
      </c>
      <c r="M141">
        <f>IF(A141="","",IF(K141&lt;=0,"Sold Out","Active"))</f>
        <v/>
      </c>
    </row>
    <row r="142">
      <c r="I142">
        <f>IF(A142="","",SUMIFS(Expenses!D:D,Expenses!B:B,A142))</f>
        <v/>
      </c>
      <c r="J142">
        <f>IF(A142="","",SUMIFS(Sales!F:F,Sales!E:E,A142))</f>
        <v/>
      </c>
      <c r="K142">
        <f>IF(A142="","",F142-J142)</f>
        <v/>
      </c>
      <c r="L142">
        <f>IF(A142="","",IF(F142=0,"",(E142*F142+I142)/F142))</f>
        <v/>
      </c>
      <c r="M142">
        <f>IF(A142="","",IF(K142&lt;=0,"Sold Out","Active"))</f>
        <v/>
      </c>
    </row>
    <row r="143">
      <c r="I143">
        <f>IF(A143="","",SUMIFS(Expenses!D:D,Expenses!B:B,A143))</f>
        <v/>
      </c>
      <c r="J143">
        <f>IF(A143="","",SUMIFS(Sales!F:F,Sales!E:E,A143))</f>
        <v/>
      </c>
      <c r="K143">
        <f>IF(A143="","",F143-J143)</f>
        <v/>
      </c>
      <c r="L143">
        <f>IF(A143="","",IF(F143=0,"",(E143*F143+I143)/F143))</f>
        <v/>
      </c>
      <c r="M143">
        <f>IF(A143="","",IF(K143&lt;=0,"Sold Out","Active"))</f>
        <v/>
      </c>
    </row>
    <row r="144">
      <c r="I144">
        <f>IF(A144="","",SUMIFS(Expenses!D:D,Expenses!B:B,A144))</f>
        <v/>
      </c>
      <c r="J144">
        <f>IF(A144="","",SUMIFS(Sales!F:F,Sales!E:E,A144))</f>
        <v/>
      </c>
      <c r="K144">
        <f>IF(A144="","",F144-J144)</f>
        <v/>
      </c>
      <c r="L144">
        <f>IF(A144="","",IF(F144=0,"",(E144*F144+I144)/F144))</f>
        <v/>
      </c>
      <c r="M144">
        <f>IF(A144="","",IF(K144&lt;=0,"Sold Out","Active"))</f>
        <v/>
      </c>
    </row>
    <row r="145">
      <c r="I145">
        <f>IF(A145="","",SUMIFS(Expenses!D:D,Expenses!B:B,A145))</f>
        <v/>
      </c>
      <c r="J145">
        <f>IF(A145="","",SUMIFS(Sales!F:F,Sales!E:E,A145))</f>
        <v/>
      </c>
      <c r="K145">
        <f>IF(A145="","",F145-J145)</f>
        <v/>
      </c>
      <c r="L145">
        <f>IF(A145="","",IF(F145=0,"",(E145*F145+I145)/F145))</f>
        <v/>
      </c>
      <c r="M145">
        <f>IF(A145="","",IF(K145&lt;=0,"Sold Out","Active"))</f>
        <v/>
      </c>
    </row>
    <row r="146">
      <c r="I146">
        <f>IF(A146="","",SUMIFS(Expenses!D:D,Expenses!B:B,A146))</f>
        <v/>
      </c>
      <c r="J146">
        <f>IF(A146="","",SUMIFS(Sales!F:F,Sales!E:E,A146))</f>
        <v/>
      </c>
      <c r="K146">
        <f>IF(A146="","",F146-J146)</f>
        <v/>
      </c>
      <c r="L146">
        <f>IF(A146="","",IF(F146=0,"",(E146*F146+I146)/F146))</f>
        <v/>
      </c>
      <c r="M146">
        <f>IF(A146="","",IF(K146&lt;=0,"Sold Out","Active"))</f>
        <v/>
      </c>
    </row>
    <row r="147">
      <c r="I147">
        <f>IF(A147="","",SUMIFS(Expenses!D:D,Expenses!B:B,A147))</f>
        <v/>
      </c>
      <c r="J147">
        <f>IF(A147="","",SUMIFS(Sales!F:F,Sales!E:E,A147))</f>
        <v/>
      </c>
      <c r="K147">
        <f>IF(A147="","",F147-J147)</f>
        <v/>
      </c>
      <c r="L147">
        <f>IF(A147="","",IF(F147=0,"",(E147*F147+I147)/F147))</f>
        <v/>
      </c>
      <c r="M147">
        <f>IF(A147="","",IF(K147&lt;=0,"Sold Out","Active"))</f>
        <v/>
      </c>
    </row>
    <row r="148">
      <c r="I148">
        <f>IF(A148="","",SUMIFS(Expenses!D:D,Expenses!B:B,A148))</f>
        <v/>
      </c>
      <c r="J148">
        <f>IF(A148="","",SUMIFS(Sales!F:F,Sales!E:E,A148))</f>
        <v/>
      </c>
      <c r="K148">
        <f>IF(A148="","",F148-J148)</f>
        <v/>
      </c>
      <c r="L148">
        <f>IF(A148="","",IF(F148=0,"",(E148*F148+I148)/F148))</f>
        <v/>
      </c>
      <c r="M148">
        <f>IF(A148="","",IF(K148&lt;=0,"Sold Out","Active"))</f>
        <v/>
      </c>
    </row>
    <row r="149">
      <c r="I149">
        <f>IF(A149="","",SUMIFS(Expenses!D:D,Expenses!B:B,A149))</f>
        <v/>
      </c>
      <c r="J149">
        <f>IF(A149="","",SUMIFS(Sales!F:F,Sales!E:E,A149))</f>
        <v/>
      </c>
      <c r="K149">
        <f>IF(A149="","",F149-J149)</f>
        <v/>
      </c>
      <c r="L149">
        <f>IF(A149="","",IF(F149=0,"",(E149*F149+I149)/F149))</f>
        <v/>
      </c>
      <c r="M149">
        <f>IF(A149="","",IF(K149&lt;=0,"Sold Out","Active"))</f>
        <v/>
      </c>
    </row>
    <row r="150">
      <c r="I150">
        <f>IF(A150="","",SUMIFS(Expenses!D:D,Expenses!B:B,A150))</f>
        <v/>
      </c>
      <c r="J150">
        <f>IF(A150="","",SUMIFS(Sales!F:F,Sales!E:E,A150))</f>
        <v/>
      </c>
      <c r="K150">
        <f>IF(A150="","",F150-J150)</f>
        <v/>
      </c>
      <c r="L150">
        <f>IF(A150="","",IF(F150=0,"",(E150*F150+I150)/F150))</f>
        <v/>
      </c>
      <c r="M150">
        <f>IF(A150="","",IF(K150&lt;=0,"Sold Out","Active"))</f>
        <v/>
      </c>
    </row>
    <row r="151">
      <c r="I151">
        <f>IF(A151="","",SUMIFS(Expenses!D:D,Expenses!B:B,A151))</f>
        <v/>
      </c>
      <c r="J151">
        <f>IF(A151="","",SUMIFS(Sales!F:F,Sales!E:E,A151))</f>
        <v/>
      </c>
      <c r="K151">
        <f>IF(A151="","",F151-J151)</f>
        <v/>
      </c>
      <c r="L151">
        <f>IF(A151="","",IF(F151=0,"",(E151*F151+I151)/F151))</f>
        <v/>
      </c>
      <c r="M151">
        <f>IF(A151="","",IF(K151&lt;=0,"Sold Out","Active"))</f>
        <v/>
      </c>
    </row>
    <row r="152">
      <c r="I152">
        <f>IF(A152="","",SUMIFS(Expenses!D:D,Expenses!B:B,A152))</f>
        <v/>
      </c>
      <c r="J152">
        <f>IF(A152="","",SUMIFS(Sales!F:F,Sales!E:E,A152))</f>
        <v/>
      </c>
      <c r="K152">
        <f>IF(A152="","",F152-J152)</f>
        <v/>
      </c>
      <c r="L152">
        <f>IF(A152="","",IF(F152=0,"",(E152*F152+I152)/F152))</f>
        <v/>
      </c>
      <c r="M152">
        <f>IF(A152="","",IF(K152&lt;=0,"Sold Out","Active"))</f>
        <v/>
      </c>
    </row>
    <row r="153">
      <c r="I153">
        <f>IF(A153="","",SUMIFS(Expenses!D:D,Expenses!B:B,A153))</f>
        <v/>
      </c>
      <c r="J153">
        <f>IF(A153="","",SUMIFS(Sales!F:F,Sales!E:E,A153))</f>
        <v/>
      </c>
      <c r="K153">
        <f>IF(A153="","",F153-J153)</f>
        <v/>
      </c>
      <c r="L153">
        <f>IF(A153="","",IF(F153=0,"",(E153*F153+I153)/F153))</f>
        <v/>
      </c>
      <c r="M153">
        <f>IF(A153="","",IF(K153&lt;=0,"Sold Out","Active"))</f>
        <v/>
      </c>
    </row>
    <row r="154">
      <c r="I154">
        <f>IF(A154="","",SUMIFS(Expenses!D:D,Expenses!B:B,A154))</f>
        <v/>
      </c>
      <c r="J154">
        <f>IF(A154="","",SUMIFS(Sales!F:F,Sales!E:E,A154))</f>
        <v/>
      </c>
      <c r="K154">
        <f>IF(A154="","",F154-J154)</f>
        <v/>
      </c>
      <c r="L154">
        <f>IF(A154="","",IF(F154=0,"",(E154*F154+I154)/F154))</f>
        <v/>
      </c>
      <c r="M154">
        <f>IF(A154="","",IF(K154&lt;=0,"Sold Out","Active"))</f>
        <v/>
      </c>
    </row>
    <row r="155">
      <c r="I155">
        <f>IF(A155="","",SUMIFS(Expenses!D:D,Expenses!B:B,A155))</f>
        <v/>
      </c>
      <c r="J155">
        <f>IF(A155="","",SUMIFS(Sales!F:F,Sales!E:E,A155))</f>
        <v/>
      </c>
      <c r="K155">
        <f>IF(A155="","",F155-J155)</f>
        <v/>
      </c>
      <c r="L155">
        <f>IF(A155="","",IF(F155=0,"",(E155*F155+I155)/F155))</f>
        <v/>
      </c>
      <c r="M155">
        <f>IF(A155="","",IF(K155&lt;=0,"Sold Out","Active"))</f>
        <v/>
      </c>
    </row>
    <row r="156">
      <c r="I156">
        <f>IF(A156="","",SUMIFS(Expenses!D:D,Expenses!B:B,A156))</f>
        <v/>
      </c>
      <c r="J156">
        <f>IF(A156="","",SUMIFS(Sales!F:F,Sales!E:E,A156))</f>
        <v/>
      </c>
      <c r="K156">
        <f>IF(A156="","",F156-J156)</f>
        <v/>
      </c>
      <c r="L156">
        <f>IF(A156="","",IF(F156=0,"",(E156*F156+I156)/F156))</f>
        <v/>
      </c>
      <c r="M156">
        <f>IF(A156="","",IF(K156&lt;=0,"Sold Out","Active"))</f>
        <v/>
      </c>
    </row>
    <row r="157">
      <c r="I157">
        <f>IF(A157="","",SUMIFS(Expenses!D:D,Expenses!B:B,A157))</f>
        <v/>
      </c>
      <c r="J157">
        <f>IF(A157="","",SUMIFS(Sales!F:F,Sales!E:E,A157))</f>
        <v/>
      </c>
      <c r="K157">
        <f>IF(A157="","",F157-J157)</f>
        <v/>
      </c>
      <c r="L157">
        <f>IF(A157="","",IF(F157=0,"",(E157*F157+I157)/F157))</f>
        <v/>
      </c>
      <c r="M157">
        <f>IF(A157="","",IF(K157&lt;=0,"Sold Out","Active"))</f>
        <v/>
      </c>
    </row>
    <row r="158">
      <c r="I158">
        <f>IF(A158="","",SUMIFS(Expenses!D:D,Expenses!B:B,A158))</f>
        <v/>
      </c>
      <c r="J158">
        <f>IF(A158="","",SUMIFS(Sales!F:F,Sales!E:E,A158))</f>
        <v/>
      </c>
      <c r="K158">
        <f>IF(A158="","",F158-J158)</f>
        <v/>
      </c>
      <c r="L158">
        <f>IF(A158="","",IF(F158=0,"",(E158*F158+I158)/F158))</f>
        <v/>
      </c>
      <c r="M158">
        <f>IF(A158="","",IF(K158&lt;=0,"Sold Out","Active"))</f>
        <v/>
      </c>
    </row>
    <row r="159">
      <c r="I159">
        <f>IF(A159="","",SUMIFS(Expenses!D:D,Expenses!B:B,A159))</f>
        <v/>
      </c>
      <c r="J159">
        <f>IF(A159="","",SUMIFS(Sales!F:F,Sales!E:E,A159))</f>
        <v/>
      </c>
      <c r="K159">
        <f>IF(A159="","",F159-J159)</f>
        <v/>
      </c>
      <c r="L159">
        <f>IF(A159="","",IF(F159=0,"",(E159*F159+I159)/F159))</f>
        <v/>
      </c>
      <c r="M159">
        <f>IF(A159="","",IF(K159&lt;=0,"Sold Out","Active"))</f>
        <v/>
      </c>
    </row>
    <row r="160">
      <c r="I160">
        <f>IF(A160="","",SUMIFS(Expenses!D:D,Expenses!B:B,A160))</f>
        <v/>
      </c>
      <c r="J160">
        <f>IF(A160="","",SUMIFS(Sales!F:F,Sales!E:E,A160))</f>
        <v/>
      </c>
      <c r="K160">
        <f>IF(A160="","",F160-J160)</f>
        <v/>
      </c>
      <c r="L160">
        <f>IF(A160="","",IF(F160=0,"",(E160*F160+I160)/F160))</f>
        <v/>
      </c>
      <c r="M160">
        <f>IF(A160="","",IF(K160&lt;=0,"Sold Out","Active"))</f>
        <v/>
      </c>
    </row>
    <row r="161">
      <c r="I161">
        <f>IF(A161="","",SUMIFS(Expenses!D:D,Expenses!B:B,A161))</f>
        <v/>
      </c>
      <c r="J161">
        <f>IF(A161="","",SUMIFS(Sales!F:F,Sales!E:E,A161))</f>
        <v/>
      </c>
      <c r="K161">
        <f>IF(A161="","",F161-J161)</f>
        <v/>
      </c>
      <c r="L161">
        <f>IF(A161="","",IF(F161=0,"",(E161*F161+I161)/F161))</f>
        <v/>
      </c>
      <c r="M161">
        <f>IF(A161="","",IF(K161&lt;=0,"Sold Out","Active"))</f>
        <v/>
      </c>
    </row>
    <row r="162">
      <c r="I162">
        <f>IF(A162="","",SUMIFS(Expenses!D:D,Expenses!B:B,A162))</f>
        <v/>
      </c>
      <c r="J162">
        <f>IF(A162="","",SUMIFS(Sales!F:F,Sales!E:E,A162))</f>
        <v/>
      </c>
      <c r="K162">
        <f>IF(A162="","",F162-J162)</f>
        <v/>
      </c>
      <c r="L162">
        <f>IF(A162="","",IF(F162=0,"",(E162*F162+I162)/F162))</f>
        <v/>
      </c>
      <c r="M162">
        <f>IF(A162="","",IF(K162&lt;=0,"Sold Out","Active"))</f>
        <v/>
      </c>
    </row>
    <row r="163">
      <c r="I163">
        <f>IF(A163="","",SUMIFS(Expenses!D:D,Expenses!B:B,A163))</f>
        <v/>
      </c>
      <c r="J163">
        <f>IF(A163="","",SUMIFS(Sales!F:F,Sales!E:E,A163))</f>
        <v/>
      </c>
      <c r="K163">
        <f>IF(A163="","",F163-J163)</f>
        <v/>
      </c>
      <c r="L163">
        <f>IF(A163="","",IF(F163=0,"",(E163*F163+I163)/F163))</f>
        <v/>
      </c>
      <c r="M163">
        <f>IF(A163="","",IF(K163&lt;=0,"Sold Out","Active"))</f>
        <v/>
      </c>
    </row>
    <row r="164">
      <c r="I164">
        <f>IF(A164="","",SUMIFS(Expenses!D:D,Expenses!B:B,A164))</f>
        <v/>
      </c>
      <c r="J164">
        <f>IF(A164="","",SUMIFS(Sales!F:F,Sales!E:E,A164))</f>
        <v/>
      </c>
      <c r="K164">
        <f>IF(A164="","",F164-J164)</f>
        <v/>
      </c>
      <c r="L164">
        <f>IF(A164="","",IF(F164=0,"",(E164*F164+I164)/F164))</f>
        <v/>
      </c>
      <c r="M164">
        <f>IF(A164="","",IF(K164&lt;=0,"Sold Out","Active"))</f>
        <v/>
      </c>
    </row>
    <row r="165">
      <c r="I165">
        <f>IF(A165="","",SUMIFS(Expenses!D:D,Expenses!B:B,A165))</f>
        <v/>
      </c>
      <c r="J165">
        <f>IF(A165="","",SUMIFS(Sales!F:F,Sales!E:E,A165))</f>
        <v/>
      </c>
      <c r="K165">
        <f>IF(A165="","",F165-J165)</f>
        <v/>
      </c>
      <c r="L165">
        <f>IF(A165="","",IF(F165=0,"",(E165*F165+I165)/F165))</f>
        <v/>
      </c>
      <c r="M165">
        <f>IF(A165="","",IF(K165&lt;=0,"Sold Out","Active"))</f>
        <v/>
      </c>
    </row>
    <row r="166">
      <c r="I166">
        <f>IF(A166="","",SUMIFS(Expenses!D:D,Expenses!B:B,A166))</f>
        <v/>
      </c>
      <c r="J166">
        <f>IF(A166="","",SUMIFS(Sales!F:F,Sales!E:E,A166))</f>
        <v/>
      </c>
      <c r="K166">
        <f>IF(A166="","",F166-J166)</f>
        <v/>
      </c>
      <c r="L166">
        <f>IF(A166="","",IF(F166=0,"",(E166*F166+I166)/F166))</f>
        <v/>
      </c>
      <c r="M166">
        <f>IF(A166="","",IF(K166&lt;=0,"Sold Out","Active"))</f>
        <v/>
      </c>
    </row>
    <row r="167">
      <c r="I167">
        <f>IF(A167="","",SUMIFS(Expenses!D:D,Expenses!B:B,A167))</f>
        <v/>
      </c>
      <c r="J167">
        <f>IF(A167="","",SUMIFS(Sales!F:F,Sales!E:E,A167))</f>
        <v/>
      </c>
      <c r="K167">
        <f>IF(A167="","",F167-J167)</f>
        <v/>
      </c>
      <c r="L167">
        <f>IF(A167="","",IF(F167=0,"",(E167*F167+I167)/F167))</f>
        <v/>
      </c>
      <c r="M167">
        <f>IF(A167="","",IF(K167&lt;=0,"Sold Out","Active"))</f>
        <v/>
      </c>
    </row>
    <row r="168">
      <c r="I168">
        <f>IF(A168="","",SUMIFS(Expenses!D:D,Expenses!B:B,A168))</f>
        <v/>
      </c>
      <c r="J168">
        <f>IF(A168="","",SUMIFS(Sales!F:F,Sales!E:E,A168))</f>
        <v/>
      </c>
      <c r="K168">
        <f>IF(A168="","",F168-J168)</f>
        <v/>
      </c>
      <c r="L168">
        <f>IF(A168="","",IF(F168=0,"",(E168*F168+I168)/F168))</f>
        <v/>
      </c>
      <c r="M168">
        <f>IF(A168="","",IF(K168&lt;=0,"Sold Out","Active"))</f>
        <v/>
      </c>
    </row>
    <row r="169">
      <c r="I169">
        <f>IF(A169="","",SUMIFS(Expenses!D:D,Expenses!B:B,A169))</f>
        <v/>
      </c>
      <c r="J169">
        <f>IF(A169="","",SUMIFS(Sales!F:F,Sales!E:E,A169))</f>
        <v/>
      </c>
      <c r="K169">
        <f>IF(A169="","",F169-J169)</f>
        <v/>
      </c>
      <c r="L169">
        <f>IF(A169="","",IF(F169=0,"",(E169*F169+I169)/F169))</f>
        <v/>
      </c>
      <c r="M169">
        <f>IF(A169="","",IF(K169&lt;=0,"Sold Out","Active"))</f>
        <v/>
      </c>
    </row>
    <row r="170">
      <c r="I170">
        <f>IF(A170="","",SUMIFS(Expenses!D:D,Expenses!B:B,A170))</f>
        <v/>
      </c>
      <c r="J170">
        <f>IF(A170="","",SUMIFS(Sales!F:F,Sales!E:E,A170))</f>
        <v/>
      </c>
      <c r="K170">
        <f>IF(A170="","",F170-J170)</f>
        <v/>
      </c>
      <c r="L170">
        <f>IF(A170="","",IF(F170=0,"",(E170*F170+I170)/F170))</f>
        <v/>
      </c>
      <c r="M170">
        <f>IF(A170="","",IF(K170&lt;=0,"Sold Out","Active"))</f>
        <v/>
      </c>
    </row>
    <row r="171">
      <c r="I171">
        <f>IF(A171="","",SUMIFS(Expenses!D:D,Expenses!B:B,A171))</f>
        <v/>
      </c>
      <c r="J171">
        <f>IF(A171="","",SUMIFS(Sales!F:F,Sales!E:E,A171))</f>
        <v/>
      </c>
      <c r="K171">
        <f>IF(A171="","",F171-J171)</f>
        <v/>
      </c>
      <c r="L171">
        <f>IF(A171="","",IF(F171=0,"",(E171*F171+I171)/F171))</f>
        <v/>
      </c>
      <c r="M171">
        <f>IF(A171="","",IF(K171&lt;=0,"Sold Out","Active"))</f>
        <v/>
      </c>
    </row>
    <row r="172">
      <c r="I172">
        <f>IF(A172="","",SUMIFS(Expenses!D:D,Expenses!B:B,A172))</f>
        <v/>
      </c>
      <c r="J172">
        <f>IF(A172="","",SUMIFS(Sales!F:F,Sales!E:E,A172))</f>
        <v/>
      </c>
      <c r="K172">
        <f>IF(A172="","",F172-J172)</f>
        <v/>
      </c>
      <c r="L172">
        <f>IF(A172="","",IF(F172=0,"",(E172*F172+I172)/F172))</f>
        <v/>
      </c>
      <c r="M172">
        <f>IF(A172="","",IF(K172&lt;=0,"Sold Out","Active"))</f>
        <v/>
      </c>
    </row>
    <row r="173">
      <c r="I173">
        <f>IF(A173="","",SUMIFS(Expenses!D:D,Expenses!B:B,A173))</f>
        <v/>
      </c>
      <c r="J173">
        <f>IF(A173="","",SUMIFS(Sales!F:F,Sales!E:E,A173))</f>
        <v/>
      </c>
      <c r="K173">
        <f>IF(A173="","",F173-J173)</f>
        <v/>
      </c>
      <c r="L173">
        <f>IF(A173="","",IF(F173=0,"",(E173*F173+I173)/F173))</f>
        <v/>
      </c>
      <c r="M173">
        <f>IF(A173="","",IF(K173&lt;=0,"Sold Out","Active"))</f>
        <v/>
      </c>
    </row>
    <row r="174">
      <c r="I174">
        <f>IF(A174="","",SUMIFS(Expenses!D:D,Expenses!B:B,A174))</f>
        <v/>
      </c>
      <c r="J174">
        <f>IF(A174="","",SUMIFS(Sales!F:F,Sales!E:E,A174))</f>
        <v/>
      </c>
      <c r="K174">
        <f>IF(A174="","",F174-J174)</f>
        <v/>
      </c>
      <c r="L174">
        <f>IF(A174="","",IF(F174=0,"",(E174*F174+I174)/F174))</f>
        <v/>
      </c>
      <c r="M174">
        <f>IF(A174="","",IF(K174&lt;=0,"Sold Out","Active"))</f>
        <v/>
      </c>
    </row>
    <row r="175">
      <c r="I175">
        <f>IF(A175="","",SUMIFS(Expenses!D:D,Expenses!B:B,A175))</f>
        <v/>
      </c>
      <c r="J175">
        <f>IF(A175="","",SUMIFS(Sales!F:F,Sales!E:E,A175))</f>
        <v/>
      </c>
      <c r="K175">
        <f>IF(A175="","",F175-J175)</f>
        <v/>
      </c>
      <c r="L175">
        <f>IF(A175="","",IF(F175=0,"",(E175*F175+I175)/F175))</f>
        <v/>
      </c>
      <c r="M175">
        <f>IF(A175="","",IF(K175&lt;=0,"Sold Out","Active"))</f>
        <v/>
      </c>
    </row>
    <row r="176">
      <c r="I176">
        <f>IF(A176="","",SUMIFS(Expenses!D:D,Expenses!B:B,A176))</f>
        <v/>
      </c>
      <c r="J176">
        <f>IF(A176="","",SUMIFS(Sales!F:F,Sales!E:E,A176))</f>
        <v/>
      </c>
      <c r="K176">
        <f>IF(A176="","",F176-J176)</f>
        <v/>
      </c>
      <c r="L176">
        <f>IF(A176="","",IF(F176=0,"",(E176*F176+I176)/F176))</f>
        <v/>
      </c>
      <c r="M176">
        <f>IF(A176="","",IF(K176&lt;=0,"Sold Out","Active"))</f>
        <v/>
      </c>
    </row>
    <row r="177">
      <c r="I177">
        <f>IF(A177="","",SUMIFS(Expenses!D:D,Expenses!B:B,A177))</f>
        <v/>
      </c>
      <c r="J177">
        <f>IF(A177="","",SUMIFS(Sales!F:F,Sales!E:E,A177))</f>
        <v/>
      </c>
      <c r="K177">
        <f>IF(A177="","",F177-J177)</f>
        <v/>
      </c>
      <c r="L177">
        <f>IF(A177="","",IF(F177=0,"",(E177*F177+I177)/F177))</f>
        <v/>
      </c>
      <c r="M177">
        <f>IF(A177="","",IF(K177&lt;=0,"Sold Out","Active"))</f>
        <v/>
      </c>
    </row>
    <row r="178">
      <c r="I178">
        <f>IF(A178="","",SUMIFS(Expenses!D:D,Expenses!B:B,A178))</f>
        <v/>
      </c>
      <c r="J178">
        <f>IF(A178="","",SUMIFS(Sales!F:F,Sales!E:E,A178))</f>
        <v/>
      </c>
      <c r="K178">
        <f>IF(A178="","",F178-J178)</f>
        <v/>
      </c>
      <c r="L178">
        <f>IF(A178="","",IF(F178=0,"",(E178*F178+I178)/F178))</f>
        <v/>
      </c>
      <c r="M178">
        <f>IF(A178="","",IF(K178&lt;=0,"Sold Out","Active"))</f>
        <v/>
      </c>
    </row>
    <row r="179">
      <c r="I179">
        <f>IF(A179="","",SUMIFS(Expenses!D:D,Expenses!B:B,A179))</f>
        <v/>
      </c>
      <c r="J179">
        <f>IF(A179="","",SUMIFS(Sales!F:F,Sales!E:E,A179))</f>
        <v/>
      </c>
      <c r="K179">
        <f>IF(A179="","",F179-J179)</f>
        <v/>
      </c>
      <c r="L179">
        <f>IF(A179="","",IF(F179=0,"",(E179*F179+I179)/F179))</f>
        <v/>
      </c>
      <c r="M179">
        <f>IF(A179="","",IF(K179&lt;=0,"Sold Out","Active"))</f>
        <v/>
      </c>
    </row>
    <row r="180">
      <c r="I180">
        <f>IF(A180="","",SUMIFS(Expenses!D:D,Expenses!B:B,A180))</f>
        <v/>
      </c>
      <c r="J180">
        <f>IF(A180="","",SUMIFS(Sales!F:F,Sales!E:E,A180))</f>
        <v/>
      </c>
      <c r="K180">
        <f>IF(A180="","",F180-J180)</f>
        <v/>
      </c>
      <c r="L180">
        <f>IF(A180="","",IF(F180=0,"",(E180*F180+I180)/F180))</f>
        <v/>
      </c>
      <c r="M180">
        <f>IF(A180="","",IF(K180&lt;=0,"Sold Out","Active"))</f>
        <v/>
      </c>
    </row>
    <row r="181">
      <c r="I181">
        <f>IF(A181="","",SUMIFS(Expenses!D:D,Expenses!B:B,A181))</f>
        <v/>
      </c>
      <c r="J181">
        <f>IF(A181="","",SUMIFS(Sales!F:F,Sales!E:E,A181))</f>
        <v/>
      </c>
      <c r="K181">
        <f>IF(A181="","",F181-J181)</f>
        <v/>
      </c>
      <c r="L181">
        <f>IF(A181="","",IF(F181=0,"",(E181*F181+I181)/F181))</f>
        <v/>
      </c>
      <c r="M181">
        <f>IF(A181="","",IF(K181&lt;=0,"Sold Out","Active"))</f>
        <v/>
      </c>
    </row>
    <row r="182">
      <c r="I182">
        <f>IF(A182="","",SUMIFS(Expenses!D:D,Expenses!B:B,A182))</f>
        <v/>
      </c>
      <c r="J182">
        <f>IF(A182="","",SUMIFS(Sales!F:F,Sales!E:E,A182))</f>
        <v/>
      </c>
      <c r="K182">
        <f>IF(A182="","",F182-J182)</f>
        <v/>
      </c>
      <c r="L182">
        <f>IF(A182="","",IF(F182=0,"",(E182*F182+I182)/F182))</f>
        <v/>
      </c>
      <c r="M182">
        <f>IF(A182="","",IF(K182&lt;=0,"Sold Out","Active"))</f>
        <v/>
      </c>
    </row>
    <row r="183">
      <c r="I183">
        <f>IF(A183="","",SUMIFS(Expenses!D:D,Expenses!B:B,A183))</f>
        <v/>
      </c>
      <c r="J183">
        <f>IF(A183="","",SUMIFS(Sales!F:F,Sales!E:E,A183))</f>
        <v/>
      </c>
      <c r="K183">
        <f>IF(A183="","",F183-J183)</f>
        <v/>
      </c>
      <c r="L183">
        <f>IF(A183="","",IF(F183=0,"",(E183*F183+I183)/F183))</f>
        <v/>
      </c>
      <c r="M183">
        <f>IF(A183="","",IF(K183&lt;=0,"Sold Out","Active"))</f>
        <v/>
      </c>
    </row>
    <row r="184">
      <c r="I184">
        <f>IF(A184="","",SUMIFS(Expenses!D:D,Expenses!B:B,A184))</f>
        <v/>
      </c>
      <c r="J184">
        <f>IF(A184="","",SUMIFS(Sales!F:F,Sales!E:E,A184))</f>
        <v/>
      </c>
      <c r="K184">
        <f>IF(A184="","",F184-J184)</f>
        <v/>
      </c>
      <c r="L184">
        <f>IF(A184="","",IF(F184=0,"",(E184*F184+I184)/F184))</f>
        <v/>
      </c>
      <c r="M184">
        <f>IF(A184="","",IF(K184&lt;=0,"Sold Out","Active"))</f>
        <v/>
      </c>
    </row>
    <row r="185">
      <c r="I185">
        <f>IF(A185="","",SUMIFS(Expenses!D:D,Expenses!B:B,A185))</f>
        <v/>
      </c>
      <c r="J185">
        <f>IF(A185="","",SUMIFS(Sales!F:F,Sales!E:E,A185))</f>
        <v/>
      </c>
      <c r="K185">
        <f>IF(A185="","",F185-J185)</f>
        <v/>
      </c>
      <c r="L185">
        <f>IF(A185="","",IF(F185=0,"",(E185*F185+I185)/F185))</f>
        <v/>
      </c>
      <c r="M185">
        <f>IF(A185="","",IF(K185&lt;=0,"Sold Out","Active"))</f>
        <v/>
      </c>
    </row>
    <row r="186">
      <c r="I186">
        <f>IF(A186="","",SUMIFS(Expenses!D:D,Expenses!B:B,A186))</f>
        <v/>
      </c>
      <c r="J186">
        <f>IF(A186="","",SUMIFS(Sales!F:F,Sales!E:E,A186))</f>
        <v/>
      </c>
      <c r="K186">
        <f>IF(A186="","",F186-J186)</f>
        <v/>
      </c>
      <c r="L186">
        <f>IF(A186="","",IF(F186=0,"",(E186*F186+I186)/F186))</f>
        <v/>
      </c>
      <c r="M186">
        <f>IF(A186="","",IF(K186&lt;=0,"Sold Out","Active"))</f>
        <v/>
      </c>
    </row>
    <row r="187">
      <c r="I187">
        <f>IF(A187="","",SUMIFS(Expenses!D:D,Expenses!B:B,A187))</f>
        <v/>
      </c>
      <c r="J187">
        <f>IF(A187="","",SUMIFS(Sales!F:F,Sales!E:E,A187))</f>
        <v/>
      </c>
      <c r="K187">
        <f>IF(A187="","",F187-J187)</f>
        <v/>
      </c>
      <c r="L187">
        <f>IF(A187="","",IF(F187=0,"",(E187*F187+I187)/F187))</f>
        <v/>
      </c>
      <c r="M187">
        <f>IF(A187="","",IF(K187&lt;=0,"Sold Out","Active"))</f>
        <v/>
      </c>
    </row>
    <row r="188">
      <c r="I188">
        <f>IF(A188="","",SUMIFS(Expenses!D:D,Expenses!B:B,A188))</f>
        <v/>
      </c>
      <c r="J188">
        <f>IF(A188="","",SUMIFS(Sales!F:F,Sales!E:E,A188))</f>
        <v/>
      </c>
      <c r="K188">
        <f>IF(A188="","",F188-J188)</f>
        <v/>
      </c>
      <c r="L188">
        <f>IF(A188="","",IF(F188=0,"",(E188*F188+I188)/F188))</f>
        <v/>
      </c>
      <c r="M188">
        <f>IF(A188="","",IF(K188&lt;=0,"Sold Out","Active"))</f>
        <v/>
      </c>
    </row>
    <row r="189">
      <c r="I189">
        <f>IF(A189="","",SUMIFS(Expenses!D:D,Expenses!B:B,A189))</f>
        <v/>
      </c>
      <c r="J189">
        <f>IF(A189="","",SUMIFS(Sales!F:F,Sales!E:E,A189))</f>
        <v/>
      </c>
      <c r="K189">
        <f>IF(A189="","",F189-J189)</f>
        <v/>
      </c>
      <c r="L189">
        <f>IF(A189="","",IF(F189=0,"",(E189*F189+I189)/F189))</f>
        <v/>
      </c>
      <c r="M189">
        <f>IF(A189="","",IF(K189&lt;=0,"Sold Out","Active"))</f>
        <v/>
      </c>
    </row>
    <row r="190">
      <c r="I190">
        <f>IF(A190="","",SUMIFS(Expenses!D:D,Expenses!B:B,A190))</f>
        <v/>
      </c>
      <c r="J190">
        <f>IF(A190="","",SUMIFS(Sales!F:F,Sales!E:E,A190))</f>
        <v/>
      </c>
      <c r="K190">
        <f>IF(A190="","",F190-J190)</f>
        <v/>
      </c>
      <c r="L190">
        <f>IF(A190="","",IF(F190=0,"",(E190*F190+I190)/F190))</f>
        <v/>
      </c>
      <c r="M190">
        <f>IF(A190="","",IF(K190&lt;=0,"Sold Out","Active"))</f>
        <v/>
      </c>
    </row>
    <row r="191">
      <c r="I191">
        <f>IF(A191="","",SUMIFS(Expenses!D:D,Expenses!B:B,A191))</f>
        <v/>
      </c>
      <c r="J191">
        <f>IF(A191="","",SUMIFS(Sales!F:F,Sales!E:E,A191))</f>
        <v/>
      </c>
      <c r="K191">
        <f>IF(A191="","",F191-J191)</f>
        <v/>
      </c>
      <c r="L191">
        <f>IF(A191="","",IF(F191=0,"",(E191*F191+I191)/F191))</f>
        <v/>
      </c>
      <c r="M191">
        <f>IF(A191="","",IF(K191&lt;=0,"Sold Out","Active"))</f>
        <v/>
      </c>
    </row>
    <row r="192">
      <c r="I192">
        <f>IF(A192="","",SUMIFS(Expenses!D:D,Expenses!B:B,A192))</f>
        <v/>
      </c>
      <c r="J192">
        <f>IF(A192="","",SUMIFS(Sales!F:F,Sales!E:E,A192))</f>
        <v/>
      </c>
      <c r="K192">
        <f>IF(A192="","",F192-J192)</f>
        <v/>
      </c>
      <c r="L192">
        <f>IF(A192="","",IF(F192=0,"",(E192*F192+I192)/F192))</f>
        <v/>
      </c>
      <c r="M192">
        <f>IF(A192="","",IF(K192&lt;=0,"Sold Out","Active"))</f>
        <v/>
      </c>
    </row>
    <row r="193">
      <c r="I193">
        <f>IF(A193="","",SUMIFS(Expenses!D:D,Expenses!B:B,A193))</f>
        <v/>
      </c>
      <c r="J193">
        <f>IF(A193="","",SUMIFS(Sales!F:F,Sales!E:E,A193))</f>
        <v/>
      </c>
      <c r="K193">
        <f>IF(A193="","",F193-J193)</f>
        <v/>
      </c>
      <c r="L193">
        <f>IF(A193="","",IF(F193=0,"",(E193*F193+I193)/F193))</f>
        <v/>
      </c>
      <c r="M193">
        <f>IF(A193="","",IF(K193&lt;=0,"Sold Out","Active"))</f>
        <v/>
      </c>
    </row>
    <row r="194">
      <c r="I194">
        <f>IF(A194="","",SUMIFS(Expenses!D:D,Expenses!B:B,A194))</f>
        <v/>
      </c>
      <c r="J194">
        <f>IF(A194="","",SUMIFS(Sales!F:F,Sales!E:E,A194))</f>
        <v/>
      </c>
      <c r="K194">
        <f>IF(A194="","",F194-J194)</f>
        <v/>
      </c>
      <c r="L194">
        <f>IF(A194="","",IF(F194=0,"",(E194*F194+I194)/F194))</f>
        <v/>
      </c>
      <c r="M194">
        <f>IF(A194="","",IF(K194&lt;=0,"Sold Out","Active"))</f>
        <v/>
      </c>
    </row>
    <row r="195">
      <c r="I195">
        <f>IF(A195="","",SUMIFS(Expenses!D:D,Expenses!B:B,A195))</f>
        <v/>
      </c>
      <c r="J195">
        <f>IF(A195="","",SUMIFS(Sales!F:F,Sales!E:E,A195))</f>
        <v/>
      </c>
      <c r="K195">
        <f>IF(A195="","",F195-J195)</f>
        <v/>
      </c>
      <c r="L195">
        <f>IF(A195="","",IF(F195=0,"",(E195*F195+I195)/F195))</f>
        <v/>
      </c>
      <c r="M195">
        <f>IF(A195="","",IF(K195&lt;=0,"Sold Out","Active"))</f>
        <v/>
      </c>
    </row>
    <row r="196">
      <c r="I196">
        <f>IF(A196="","",SUMIFS(Expenses!D:D,Expenses!B:B,A196))</f>
        <v/>
      </c>
      <c r="J196">
        <f>IF(A196="","",SUMIFS(Sales!F:F,Sales!E:E,A196))</f>
        <v/>
      </c>
      <c r="K196">
        <f>IF(A196="","",F196-J196)</f>
        <v/>
      </c>
      <c r="L196">
        <f>IF(A196="","",IF(F196=0,"",(E196*F196+I196)/F196))</f>
        <v/>
      </c>
      <c r="M196">
        <f>IF(A196="","",IF(K196&lt;=0,"Sold Out","Active"))</f>
        <v/>
      </c>
    </row>
    <row r="197">
      <c r="I197">
        <f>IF(A197="","",SUMIFS(Expenses!D:D,Expenses!B:B,A197))</f>
        <v/>
      </c>
      <c r="J197">
        <f>IF(A197="","",SUMIFS(Sales!F:F,Sales!E:E,A197))</f>
        <v/>
      </c>
      <c r="K197">
        <f>IF(A197="","",F197-J197)</f>
        <v/>
      </c>
      <c r="L197">
        <f>IF(A197="","",IF(F197=0,"",(E197*F197+I197)/F197))</f>
        <v/>
      </c>
      <c r="M197">
        <f>IF(A197="","",IF(K197&lt;=0,"Sold Out","Active"))</f>
        <v/>
      </c>
    </row>
    <row r="198">
      <c r="I198">
        <f>IF(A198="","",SUMIFS(Expenses!D:D,Expenses!B:B,A198))</f>
        <v/>
      </c>
      <c r="J198">
        <f>IF(A198="","",SUMIFS(Sales!F:F,Sales!E:E,A198))</f>
        <v/>
      </c>
      <c r="K198">
        <f>IF(A198="","",F198-J198)</f>
        <v/>
      </c>
      <c r="L198">
        <f>IF(A198="","",IF(F198=0,"",(E198*F198+I198)/F198))</f>
        <v/>
      </c>
      <c r="M198">
        <f>IF(A198="","",IF(K198&lt;=0,"Sold Out","Active"))</f>
        <v/>
      </c>
    </row>
    <row r="199">
      <c r="I199">
        <f>IF(A199="","",SUMIFS(Expenses!D:D,Expenses!B:B,A199))</f>
        <v/>
      </c>
      <c r="J199">
        <f>IF(A199="","",SUMIFS(Sales!F:F,Sales!E:E,A199))</f>
        <v/>
      </c>
      <c r="K199">
        <f>IF(A199="","",F199-J199)</f>
        <v/>
      </c>
      <c r="L199">
        <f>IF(A199="","",IF(F199=0,"",(E199*F199+I199)/F199))</f>
        <v/>
      </c>
      <c r="M199">
        <f>IF(A199="","",IF(K199&lt;=0,"Sold Out","Active"))</f>
        <v/>
      </c>
    </row>
    <row r="200">
      <c r="I200">
        <f>IF(A200="","",SUMIFS(Expenses!D:D,Expenses!B:B,A200))</f>
        <v/>
      </c>
      <c r="J200">
        <f>IF(A200="","",SUMIFS(Sales!F:F,Sales!E:E,A200))</f>
        <v/>
      </c>
      <c r="K200">
        <f>IF(A200="","",F200-J200)</f>
        <v/>
      </c>
      <c r="L200">
        <f>IF(A200="","",IF(F200=0,"",(E200*F200+I200)/F200))</f>
        <v/>
      </c>
      <c r="M200">
        <f>IF(A200="","",IF(K200&lt;=0,"Sold Out","Active"))</f>
        <v/>
      </c>
    </row>
    <row r="201">
      <c r="I201">
        <f>IF(A201="","",SUMIFS(Expenses!D:D,Expenses!B:B,A201))</f>
        <v/>
      </c>
      <c r="J201">
        <f>IF(A201="","",SUMIFS(Sales!F:F,Sales!E:E,A201))</f>
        <v/>
      </c>
      <c r="K201">
        <f>IF(A201="","",F201-J201)</f>
        <v/>
      </c>
      <c r="L201">
        <f>IF(A201="","",IF(F201=0,"",(E201*F201+I201)/F201))</f>
        <v/>
      </c>
      <c r="M201">
        <f>IF(A201="","",IF(K201&lt;=0,"Sold Out","Active"))</f>
        <v/>
      </c>
    </row>
    <row r="202">
      <c r="I202">
        <f>IF(A202="","",SUMIFS(Expenses!D:D,Expenses!B:B,A202))</f>
        <v/>
      </c>
      <c r="J202">
        <f>IF(A202="","",SUMIFS(Sales!F:F,Sales!E:E,A202))</f>
        <v/>
      </c>
      <c r="K202">
        <f>IF(A202="","",F202-J202)</f>
        <v/>
      </c>
      <c r="L202">
        <f>IF(A202="","",IF(F202=0,"",(E202*F202+I202)/F202))</f>
        <v/>
      </c>
      <c r="M202">
        <f>IF(A202="","",IF(K202&lt;=0,"Sold Out","Active"))</f>
        <v/>
      </c>
    </row>
    <row r="203">
      <c r="I203">
        <f>IF(A203="","",SUMIFS(Expenses!D:D,Expenses!B:B,A203))</f>
        <v/>
      </c>
      <c r="J203">
        <f>IF(A203="","",SUMIFS(Sales!F:F,Sales!E:E,A203))</f>
        <v/>
      </c>
      <c r="K203">
        <f>IF(A203="","",F203-J203)</f>
        <v/>
      </c>
      <c r="L203">
        <f>IF(A203="","",IF(F203=0,"",(E203*F203+I203)/F203))</f>
        <v/>
      </c>
      <c r="M203">
        <f>IF(A203="","",IF(K203&lt;=0,"Sold Out","Active"))</f>
        <v/>
      </c>
    </row>
    <row r="204">
      <c r="I204">
        <f>IF(A204="","",SUMIFS(Expenses!D:D,Expenses!B:B,A204))</f>
        <v/>
      </c>
      <c r="J204">
        <f>IF(A204="","",SUMIFS(Sales!F:F,Sales!E:E,A204))</f>
        <v/>
      </c>
      <c r="K204">
        <f>IF(A204="","",F204-J204)</f>
        <v/>
      </c>
      <c r="L204">
        <f>IF(A204="","",IF(F204=0,"",(E204*F204+I204)/F204))</f>
        <v/>
      </c>
      <c r="M204">
        <f>IF(A204="","",IF(K204&lt;=0,"Sold Out","Active"))</f>
        <v/>
      </c>
    </row>
    <row r="205">
      <c r="I205">
        <f>IF(A205="","",SUMIFS(Expenses!D:D,Expenses!B:B,A205))</f>
        <v/>
      </c>
      <c r="J205">
        <f>IF(A205="","",SUMIFS(Sales!F:F,Sales!E:E,A205))</f>
        <v/>
      </c>
      <c r="K205">
        <f>IF(A205="","",F205-J205)</f>
        <v/>
      </c>
      <c r="L205">
        <f>IF(A205="","",IF(F205=0,"",(E205*F205+I205)/F205))</f>
        <v/>
      </c>
      <c r="M205">
        <f>IF(A205="","",IF(K205&lt;=0,"Sold Out","Active"))</f>
        <v/>
      </c>
    </row>
    <row r="206">
      <c r="I206">
        <f>IF(A206="","",SUMIFS(Expenses!D:D,Expenses!B:B,A206))</f>
        <v/>
      </c>
      <c r="J206">
        <f>IF(A206="","",SUMIFS(Sales!F:F,Sales!E:E,A206))</f>
        <v/>
      </c>
      <c r="K206">
        <f>IF(A206="","",F206-J206)</f>
        <v/>
      </c>
      <c r="L206">
        <f>IF(A206="","",IF(F206=0,"",(E206*F206+I206)/F206))</f>
        <v/>
      </c>
      <c r="M206">
        <f>IF(A206="","",IF(K206&lt;=0,"Sold Out","Active"))</f>
        <v/>
      </c>
    </row>
    <row r="207">
      <c r="I207">
        <f>IF(A207="","",SUMIFS(Expenses!D:D,Expenses!B:B,A207))</f>
        <v/>
      </c>
      <c r="J207">
        <f>IF(A207="","",SUMIFS(Sales!F:F,Sales!E:E,A207))</f>
        <v/>
      </c>
      <c r="K207">
        <f>IF(A207="","",F207-J207)</f>
        <v/>
      </c>
      <c r="L207">
        <f>IF(A207="","",IF(F207=0,"",(E207*F207+I207)/F207))</f>
        <v/>
      </c>
      <c r="M207">
        <f>IF(A207="","",IF(K207&lt;=0,"Sold Out","Active"))</f>
        <v/>
      </c>
    </row>
    <row r="208">
      <c r="I208">
        <f>IF(A208="","",SUMIFS(Expenses!D:D,Expenses!B:B,A208))</f>
        <v/>
      </c>
      <c r="J208">
        <f>IF(A208="","",SUMIFS(Sales!F:F,Sales!E:E,A208))</f>
        <v/>
      </c>
      <c r="K208">
        <f>IF(A208="","",F208-J208)</f>
        <v/>
      </c>
      <c r="L208">
        <f>IF(A208="","",IF(F208=0,"",(E208*F208+I208)/F208))</f>
        <v/>
      </c>
      <c r="M208">
        <f>IF(A208="","",IF(K208&lt;=0,"Sold Out","Active"))</f>
        <v/>
      </c>
    </row>
    <row r="209">
      <c r="I209">
        <f>IF(A209="","",SUMIFS(Expenses!D:D,Expenses!B:B,A209))</f>
        <v/>
      </c>
      <c r="J209">
        <f>IF(A209="","",SUMIFS(Sales!F:F,Sales!E:E,A209))</f>
        <v/>
      </c>
      <c r="K209">
        <f>IF(A209="","",F209-J209)</f>
        <v/>
      </c>
      <c r="L209">
        <f>IF(A209="","",IF(F209=0,"",(E209*F209+I209)/F209))</f>
        <v/>
      </c>
      <c r="M209">
        <f>IF(A209="","",IF(K209&lt;=0,"Sold Out","Active"))</f>
        <v/>
      </c>
    </row>
    <row r="210">
      <c r="I210">
        <f>IF(A210="","",SUMIFS(Expenses!D:D,Expenses!B:B,A210))</f>
        <v/>
      </c>
      <c r="J210">
        <f>IF(A210="","",SUMIFS(Sales!F:F,Sales!E:E,A210))</f>
        <v/>
      </c>
      <c r="K210">
        <f>IF(A210="","",F210-J210)</f>
        <v/>
      </c>
      <c r="L210">
        <f>IF(A210="","",IF(F210=0,"",(E210*F210+I210)/F210))</f>
        <v/>
      </c>
      <c r="M210">
        <f>IF(A210="","",IF(K210&lt;=0,"Sold Out","Active"))</f>
        <v/>
      </c>
    </row>
    <row r="211">
      <c r="I211">
        <f>IF(A211="","",SUMIFS(Expenses!D:D,Expenses!B:B,A211))</f>
        <v/>
      </c>
      <c r="J211">
        <f>IF(A211="","",SUMIFS(Sales!F:F,Sales!E:E,A211))</f>
        <v/>
      </c>
      <c r="K211">
        <f>IF(A211="","",F211-J211)</f>
        <v/>
      </c>
      <c r="L211">
        <f>IF(A211="","",IF(F211=0,"",(E211*F211+I211)/F211))</f>
        <v/>
      </c>
      <c r="M211">
        <f>IF(A211="","",IF(K211&lt;=0,"Sold Out","Active"))</f>
        <v/>
      </c>
    </row>
    <row r="212">
      <c r="I212">
        <f>IF(A212="","",SUMIFS(Expenses!D:D,Expenses!B:B,A212))</f>
        <v/>
      </c>
      <c r="J212">
        <f>IF(A212="","",SUMIFS(Sales!F:F,Sales!E:E,A212))</f>
        <v/>
      </c>
      <c r="K212">
        <f>IF(A212="","",F212-J212)</f>
        <v/>
      </c>
      <c r="L212">
        <f>IF(A212="","",IF(F212=0,"",(E212*F212+I212)/F212))</f>
        <v/>
      </c>
      <c r="M212">
        <f>IF(A212="","",IF(K212&lt;=0,"Sold Out","Active"))</f>
        <v/>
      </c>
    </row>
    <row r="213">
      <c r="I213">
        <f>IF(A213="","",SUMIFS(Expenses!D:D,Expenses!B:B,A213))</f>
        <v/>
      </c>
      <c r="J213">
        <f>IF(A213="","",SUMIFS(Sales!F:F,Sales!E:E,A213))</f>
        <v/>
      </c>
      <c r="K213">
        <f>IF(A213="","",F213-J213)</f>
        <v/>
      </c>
      <c r="L213">
        <f>IF(A213="","",IF(F213=0,"",(E213*F213+I213)/F213))</f>
        <v/>
      </c>
      <c r="M213">
        <f>IF(A213="","",IF(K213&lt;=0,"Sold Out","Active"))</f>
        <v/>
      </c>
    </row>
    <row r="214">
      <c r="I214">
        <f>IF(A214="","",SUMIFS(Expenses!D:D,Expenses!B:B,A214))</f>
        <v/>
      </c>
      <c r="J214">
        <f>IF(A214="","",SUMIFS(Sales!F:F,Sales!E:E,A214))</f>
        <v/>
      </c>
      <c r="K214">
        <f>IF(A214="","",F214-J214)</f>
        <v/>
      </c>
      <c r="L214">
        <f>IF(A214="","",IF(F214=0,"",(E214*F214+I214)/F214))</f>
        <v/>
      </c>
      <c r="M214">
        <f>IF(A214="","",IF(K214&lt;=0,"Sold Out","Active"))</f>
        <v/>
      </c>
    </row>
    <row r="215">
      <c r="I215">
        <f>IF(A215="","",SUMIFS(Expenses!D:D,Expenses!B:B,A215))</f>
        <v/>
      </c>
      <c r="J215">
        <f>IF(A215="","",SUMIFS(Sales!F:F,Sales!E:E,A215))</f>
        <v/>
      </c>
      <c r="K215">
        <f>IF(A215="","",F215-J215)</f>
        <v/>
      </c>
      <c r="L215">
        <f>IF(A215="","",IF(F215=0,"",(E215*F215+I215)/F215))</f>
        <v/>
      </c>
      <c r="M215">
        <f>IF(A215="","",IF(K215&lt;=0,"Sold Out","Active"))</f>
        <v/>
      </c>
    </row>
    <row r="216">
      <c r="I216">
        <f>IF(A216="","",SUMIFS(Expenses!D:D,Expenses!B:B,A216))</f>
        <v/>
      </c>
      <c r="J216">
        <f>IF(A216="","",SUMIFS(Sales!F:F,Sales!E:E,A216))</f>
        <v/>
      </c>
      <c r="K216">
        <f>IF(A216="","",F216-J216)</f>
        <v/>
      </c>
      <c r="L216">
        <f>IF(A216="","",IF(F216=0,"",(E216*F216+I216)/F216))</f>
        <v/>
      </c>
      <c r="M216">
        <f>IF(A216="","",IF(K216&lt;=0,"Sold Out","Active"))</f>
        <v/>
      </c>
    </row>
    <row r="217">
      <c r="I217">
        <f>IF(A217="","",SUMIFS(Expenses!D:D,Expenses!B:B,A217))</f>
        <v/>
      </c>
      <c r="J217">
        <f>IF(A217="","",SUMIFS(Sales!F:F,Sales!E:E,A217))</f>
        <v/>
      </c>
      <c r="K217">
        <f>IF(A217="","",F217-J217)</f>
        <v/>
      </c>
      <c r="L217">
        <f>IF(A217="","",IF(F217=0,"",(E217*F217+I217)/F217))</f>
        <v/>
      </c>
      <c r="M217">
        <f>IF(A217="","",IF(K217&lt;=0,"Sold Out","Active"))</f>
        <v/>
      </c>
    </row>
    <row r="218">
      <c r="I218">
        <f>IF(A218="","",SUMIFS(Expenses!D:D,Expenses!B:B,A218))</f>
        <v/>
      </c>
      <c r="J218">
        <f>IF(A218="","",SUMIFS(Sales!F:F,Sales!E:E,A218))</f>
        <v/>
      </c>
      <c r="K218">
        <f>IF(A218="","",F218-J218)</f>
        <v/>
      </c>
      <c r="L218">
        <f>IF(A218="","",IF(F218=0,"",(E218*F218+I218)/F218))</f>
        <v/>
      </c>
      <c r="M218">
        <f>IF(A218="","",IF(K218&lt;=0,"Sold Out","Active"))</f>
        <v/>
      </c>
    </row>
    <row r="219">
      <c r="I219">
        <f>IF(A219="","",SUMIFS(Expenses!D:D,Expenses!B:B,A219))</f>
        <v/>
      </c>
      <c r="J219">
        <f>IF(A219="","",SUMIFS(Sales!F:F,Sales!E:E,A219))</f>
        <v/>
      </c>
      <c r="K219">
        <f>IF(A219="","",F219-J219)</f>
        <v/>
      </c>
      <c r="L219">
        <f>IF(A219="","",IF(F219=0,"",(E219*F219+I219)/F219))</f>
        <v/>
      </c>
      <c r="M219">
        <f>IF(A219="","",IF(K219&lt;=0,"Sold Out","Active"))</f>
        <v/>
      </c>
    </row>
    <row r="220">
      <c r="I220">
        <f>IF(A220="","",SUMIFS(Expenses!D:D,Expenses!B:B,A220))</f>
        <v/>
      </c>
      <c r="J220">
        <f>IF(A220="","",SUMIFS(Sales!F:F,Sales!E:E,A220))</f>
        <v/>
      </c>
      <c r="K220">
        <f>IF(A220="","",F220-J220)</f>
        <v/>
      </c>
      <c r="L220">
        <f>IF(A220="","",IF(F220=0,"",(E220*F220+I220)/F220))</f>
        <v/>
      </c>
      <c r="M220">
        <f>IF(A220="","",IF(K220&lt;=0,"Sold Out","Active"))</f>
        <v/>
      </c>
    </row>
    <row r="221">
      <c r="I221">
        <f>IF(A221="","",SUMIFS(Expenses!D:D,Expenses!B:B,A221))</f>
        <v/>
      </c>
      <c r="J221">
        <f>IF(A221="","",SUMIFS(Sales!F:F,Sales!E:E,A221))</f>
        <v/>
      </c>
      <c r="K221">
        <f>IF(A221="","",F221-J221)</f>
        <v/>
      </c>
      <c r="L221">
        <f>IF(A221="","",IF(F221=0,"",(E221*F221+I221)/F221))</f>
        <v/>
      </c>
      <c r="M221">
        <f>IF(A221="","",IF(K221&lt;=0,"Sold Out","Active"))</f>
        <v/>
      </c>
    </row>
    <row r="222">
      <c r="I222">
        <f>IF(A222="","",SUMIFS(Expenses!D:D,Expenses!B:B,A222))</f>
        <v/>
      </c>
      <c r="J222">
        <f>IF(A222="","",SUMIFS(Sales!F:F,Sales!E:E,A222))</f>
        <v/>
      </c>
      <c r="K222">
        <f>IF(A222="","",F222-J222)</f>
        <v/>
      </c>
      <c r="L222">
        <f>IF(A222="","",IF(F222=0,"",(E222*F222+I222)/F222))</f>
        <v/>
      </c>
      <c r="M222">
        <f>IF(A222="","",IF(K222&lt;=0,"Sold Out","Active"))</f>
        <v/>
      </c>
    </row>
    <row r="223">
      <c r="I223">
        <f>IF(A223="","",SUMIFS(Expenses!D:D,Expenses!B:B,A223))</f>
        <v/>
      </c>
      <c r="J223">
        <f>IF(A223="","",SUMIFS(Sales!F:F,Sales!E:E,A223))</f>
        <v/>
      </c>
      <c r="K223">
        <f>IF(A223="","",F223-J223)</f>
        <v/>
      </c>
      <c r="L223">
        <f>IF(A223="","",IF(F223=0,"",(E223*F223+I223)/F223))</f>
        <v/>
      </c>
      <c r="M223">
        <f>IF(A223="","",IF(K223&lt;=0,"Sold Out","Active"))</f>
        <v/>
      </c>
    </row>
    <row r="224">
      <c r="I224">
        <f>IF(A224="","",SUMIFS(Expenses!D:D,Expenses!B:B,A224))</f>
        <v/>
      </c>
      <c r="J224">
        <f>IF(A224="","",SUMIFS(Sales!F:F,Sales!E:E,A224))</f>
        <v/>
      </c>
      <c r="K224">
        <f>IF(A224="","",F224-J224)</f>
        <v/>
      </c>
      <c r="L224">
        <f>IF(A224="","",IF(F224=0,"",(E224*F224+I224)/F224))</f>
        <v/>
      </c>
      <c r="M224">
        <f>IF(A224="","",IF(K224&lt;=0,"Sold Out","Active"))</f>
        <v/>
      </c>
    </row>
    <row r="225">
      <c r="I225">
        <f>IF(A225="","",SUMIFS(Expenses!D:D,Expenses!B:B,A225))</f>
        <v/>
      </c>
      <c r="J225">
        <f>IF(A225="","",SUMIFS(Sales!F:F,Sales!E:E,A225))</f>
        <v/>
      </c>
      <c r="K225">
        <f>IF(A225="","",F225-J225)</f>
        <v/>
      </c>
      <c r="L225">
        <f>IF(A225="","",IF(F225=0,"",(E225*F225+I225)/F225))</f>
        <v/>
      </c>
      <c r="M225">
        <f>IF(A225="","",IF(K225&lt;=0,"Sold Out","Active"))</f>
        <v/>
      </c>
    </row>
    <row r="226">
      <c r="I226">
        <f>IF(A226="","",SUMIFS(Expenses!D:D,Expenses!B:B,A226))</f>
        <v/>
      </c>
      <c r="J226">
        <f>IF(A226="","",SUMIFS(Sales!F:F,Sales!E:E,A226))</f>
        <v/>
      </c>
      <c r="K226">
        <f>IF(A226="","",F226-J226)</f>
        <v/>
      </c>
      <c r="L226">
        <f>IF(A226="","",IF(F226=0,"",(E226*F226+I226)/F226))</f>
        <v/>
      </c>
      <c r="M226">
        <f>IF(A226="","",IF(K226&lt;=0,"Sold Out","Active"))</f>
        <v/>
      </c>
    </row>
    <row r="227">
      <c r="I227">
        <f>IF(A227="","",SUMIFS(Expenses!D:D,Expenses!B:B,A227))</f>
        <v/>
      </c>
      <c r="J227">
        <f>IF(A227="","",SUMIFS(Sales!F:F,Sales!E:E,A227))</f>
        <v/>
      </c>
      <c r="K227">
        <f>IF(A227="","",F227-J227)</f>
        <v/>
      </c>
      <c r="L227">
        <f>IF(A227="","",IF(F227=0,"",(E227*F227+I227)/F227))</f>
        <v/>
      </c>
      <c r="M227">
        <f>IF(A227="","",IF(K227&lt;=0,"Sold Out","Active"))</f>
        <v/>
      </c>
    </row>
    <row r="228">
      <c r="I228">
        <f>IF(A228="","",SUMIFS(Expenses!D:D,Expenses!B:B,A228))</f>
        <v/>
      </c>
      <c r="J228">
        <f>IF(A228="","",SUMIFS(Sales!F:F,Sales!E:E,A228))</f>
        <v/>
      </c>
      <c r="K228">
        <f>IF(A228="","",F228-J228)</f>
        <v/>
      </c>
      <c r="L228">
        <f>IF(A228="","",IF(F228=0,"",(E228*F228+I228)/F228))</f>
        <v/>
      </c>
      <c r="M228">
        <f>IF(A228="","",IF(K228&lt;=0,"Sold Out","Active"))</f>
        <v/>
      </c>
    </row>
    <row r="229">
      <c r="I229">
        <f>IF(A229="","",SUMIFS(Expenses!D:D,Expenses!B:B,A229))</f>
        <v/>
      </c>
      <c r="J229">
        <f>IF(A229="","",SUMIFS(Sales!F:F,Sales!E:E,A229))</f>
        <v/>
      </c>
      <c r="K229">
        <f>IF(A229="","",F229-J229)</f>
        <v/>
      </c>
      <c r="L229">
        <f>IF(A229="","",IF(F229=0,"",(E229*F229+I229)/F229))</f>
        <v/>
      </c>
      <c r="M229">
        <f>IF(A229="","",IF(K229&lt;=0,"Sold Out","Active"))</f>
        <v/>
      </c>
    </row>
    <row r="230">
      <c r="I230">
        <f>IF(A230="","",SUMIFS(Expenses!D:D,Expenses!B:B,A230))</f>
        <v/>
      </c>
      <c r="J230">
        <f>IF(A230="","",SUMIFS(Sales!F:F,Sales!E:E,A230))</f>
        <v/>
      </c>
      <c r="K230">
        <f>IF(A230="","",F230-J230)</f>
        <v/>
      </c>
      <c r="L230">
        <f>IF(A230="","",IF(F230=0,"",(E230*F230+I230)/F230))</f>
        <v/>
      </c>
      <c r="M230">
        <f>IF(A230="","",IF(K230&lt;=0,"Sold Out","Active"))</f>
        <v/>
      </c>
    </row>
    <row r="231">
      <c r="I231">
        <f>IF(A231="","",SUMIFS(Expenses!D:D,Expenses!B:B,A231))</f>
        <v/>
      </c>
      <c r="J231">
        <f>IF(A231="","",SUMIFS(Sales!F:F,Sales!E:E,A231))</f>
        <v/>
      </c>
      <c r="K231">
        <f>IF(A231="","",F231-J231)</f>
        <v/>
      </c>
      <c r="L231">
        <f>IF(A231="","",IF(F231=0,"",(E231*F231+I231)/F231))</f>
        <v/>
      </c>
      <c r="M231">
        <f>IF(A231="","",IF(K231&lt;=0,"Sold Out","Active"))</f>
        <v/>
      </c>
    </row>
    <row r="232">
      <c r="I232">
        <f>IF(A232="","",SUMIFS(Expenses!D:D,Expenses!B:B,A232))</f>
        <v/>
      </c>
      <c r="J232">
        <f>IF(A232="","",SUMIFS(Sales!F:F,Sales!E:E,A232))</f>
        <v/>
      </c>
      <c r="K232">
        <f>IF(A232="","",F232-J232)</f>
        <v/>
      </c>
      <c r="L232">
        <f>IF(A232="","",IF(F232=0,"",(E232*F232+I232)/F232))</f>
        <v/>
      </c>
      <c r="M232">
        <f>IF(A232="","",IF(K232&lt;=0,"Sold Out","Active"))</f>
        <v/>
      </c>
    </row>
    <row r="233">
      <c r="I233">
        <f>IF(A233="","",SUMIFS(Expenses!D:D,Expenses!B:B,A233))</f>
        <v/>
      </c>
      <c r="J233">
        <f>IF(A233="","",SUMIFS(Sales!F:F,Sales!E:E,A233))</f>
        <v/>
      </c>
      <c r="K233">
        <f>IF(A233="","",F233-J233)</f>
        <v/>
      </c>
      <c r="L233">
        <f>IF(A233="","",IF(F233=0,"",(E233*F233+I233)/F233))</f>
        <v/>
      </c>
      <c r="M233">
        <f>IF(A233="","",IF(K233&lt;=0,"Sold Out","Active"))</f>
        <v/>
      </c>
    </row>
    <row r="234">
      <c r="I234">
        <f>IF(A234="","",SUMIFS(Expenses!D:D,Expenses!B:B,A234))</f>
        <v/>
      </c>
      <c r="J234">
        <f>IF(A234="","",SUMIFS(Sales!F:F,Sales!E:E,A234))</f>
        <v/>
      </c>
      <c r="K234">
        <f>IF(A234="","",F234-J234)</f>
        <v/>
      </c>
      <c r="L234">
        <f>IF(A234="","",IF(F234=0,"",(E234*F234+I234)/F234))</f>
        <v/>
      </c>
      <c r="M234">
        <f>IF(A234="","",IF(K234&lt;=0,"Sold Out","Active"))</f>
        <v/>
      </c>
    </row>
    <row r="235">
      <c r="I235">
        <f>IF(A235="","",SUMIFS(Expenses!D:D,Expenses!B:B,A235))</f>
        <v/>
      </c>
      <c r="J235">
        <f>IF(A235="","",SUMIFS(Sales!F:F,Sales!E:E,A235))</f>
        <v/>
      </c>
      <c r="K235">
        <f>IF(A235="","",F235-J235)</f>
        <v/>
      </c>
      <c r="L235">
        <f>IF(A235="","",IF(F235=0,"",(E235*F235+I235)/F235))</f>
        <v/>
      </c>
      <c r="M235">
        <f>IF(A235="","",IF(K235&lt;=0,"Sold Out","Active"))</f>
        <v/>
      </c>
    </row>
    <row r="236">
      <c r="I236">
        <f>IF(A236="","",SUMIFS(Expenses!D:D,Expenses!B:B,A236))</f>
        <v/>
      </c>
      <c r="J236">
        <f>IF(A236="","",SUMIFS(Sales!F:F,Sales!E:E,A236))</f>
        <v/>
      </c>
      <c r="K236">
        <f>IF(A236="","",F236-J236)</f>
        <v/>
      </c>
      <c r="L236">
        <f>IF(A236="","",IF(F236=0,"",(E236*F236+I236)/F236))</f>
        <v/>
      </c>
      <c r="M236">
        <f>IF(A236="","",IF(K236&lt;=0,"Sold Out","Active"))</f>
        <v/>
      </c>
    </row>
    <row r="237">
      <c r="I237">
        <f>IF(A237="","",SUMIFS(Expenses!D:D,Expenses!B:B,A237))</f>
        <v/>
      </c>
      <c r="J237">
        <f>IF(A237="","",SUMIFS(Sales!F:F,Sales!E:E,A237))</f>
        <v/>
      </c>
      <c r="K237">
        <f>IF(A237="","",F237-J237)</f>
        <v/>
      </c>
      <c r="L237">
        <f>IF(A237="","",IF(F237=0,"",(E237*F237+I237)/F237))</f>
        <v/>
      </c>
      <c r="M237">
        <f>IF(A237="","",IF(K237&lt;=0,"Sold Out","Active"))</f>
        <v/>
      </c>
    </row>
    <row r="238">
      <c r="I238">
        <f>IF(A238="","",SUMIFS(Expenses!D:D,Expenses!B:B,A238))</f>
        <v/>
      </c>
      <c r="J238">
        <f>IF(A238="","",SUMIFS(Sales!F:F,Sales!E:E,A238))</f>
        <v/>
      </c>
      <c r="K238">
        <f>IF(A238="","",F238-J238)</f>
        <v/>
      </c>
      <c r="L238">
        <f>IF(A238="","",IF(F238=0,"",(E238*F238+I238)/F238))</f>
        <v/>
      </c>
      <c r="M238">
        <f>IF(A238="","",IF(K238&lt;=0,"Sold Out","Active"))</f>
        <v/>
      </c>
    </row>
    <row r="239">
      <c r="I239">
        <f>IF(A239="","",SUMIFS(Expenses!D:D,Expenses!B:B,A239))</f>
        <v/>
      </c>
      <c r="J239">
        <f>IF(A239="","",SUMIFS(Sales!F:F,Sales!E:E,A239))</f>
        <v/>
      </c>
      <c r="K239">
        <f>IF(A239="","",F239-J239)</f>
        <v/>
      </c>
      <c r="L239">
        <f>IF(A239="","",IF(F239=0,"",(E239*F239+I239)/F239))</f>
        <v/>
      </c>
      <c r="M239">
        <f>IF(A239="","",IF(K239&lt;=0,"Sold Out","Active"))</f>
        <v/>
      </c>
    </row>
    <row r="240">
      <c r="I240">
        <f>IF(A240="","",SUMIFS(Expenses!D:D,Expenses!B:B,A240))</f>
        <v/>
      </c>
      <c r="J240">
        <f>IF(A240="","",SUMIFS(Sales!F:F,Sales!E:E,A240))</f>
        <v/>
      </c>
      <c r="K240">
        <f>IF(A240="","",F240-J240)</f>
        <v/>
      </c>
      <c r="L240">
        <f>IF(A240="","",IF(F240=0,"",(E240*F240+I240)/F240))</f>
        <v/>
      </c>
      <c r="M240">
        <f>IF(A240="","",IF(K240&lt;=0,"Sold Out","Active"))</f>
        <v/>
      </c>
    </row>
    <row r="241">
      <c r="I241">
        <f>IF(A241="","",SUMIFS(Expenses!D:D,Expenses!B:B,A241))</f>
        <v/>
      </c>
      <c r="J241">
        <f>IF(A241="","",SUMIFS(Sales!F:F,Sales!E:E,A241))</f>
        <v/>
      </c>
      <c r="K241">
        <f>IF(A241="","",F241-J241)</f>
        <v/>
      </c>
      <c r="L241">
        <f>IF(A241="","",IF(F241=0,"",(E241*F241+I241)/F241))</f>
        <v/>
      </c>
      <c r="M241">
        <f>IF(A241="","",IF(K241&lt;=0,"Sold Out","Active"))</f>
        <v/>
      </c>
    </row>
    <row r="242">
      <c r="I242">
        <f>IF(A242="","",SUMIFS(Expenses!D:D,Expenses!B:B,A242))</f>
        <v/>
      </c>
      <c r="J242">
        <f>IF(A242="","",SUMIFS(Sales!F:F,Sales!E:E,A242))</f>
        <v/>
      </c>
      <c r="K242">
        <f>IF(A242="","",F242-J242)</f>
        <v/>
      </c>
      <c r="L242">
        <f>IF(A242="","",IF(F242=0,"",(E242*F242+I242)/F242))</f>
        <v/>
      </c>
      <c r="M242">
        <f>IF(A242="","",IF(K242&lt;=0,"Sold Out","Active"))</f>
        <v/>
      </c>
    </row>
    <row r="243">
      <c r="I243">
        <f>IF(A243="","",SUMIFS(Expenses!D:D,Expenses!B:B,A243))</f>
        <v/>
      </c>
      <c r="J243">
        <f>IF(A243="","",SUMIFS(Sales!F:F,Sales!E:E,A243))</f>
        <v/>
      </c>
      <c r="K243">
        <f>IF(A243="","",F243-J243)</f>
        <v/>
      </c>
      <c r="L243">
        <f>IF(A243="","",IF(F243=0,"",(E243*F243+I243)/F243))</f>
        <v/>
      </c>
      <c r="M243">
        <f>IF(A243="","",IF(K243&lt;=0,"Sold Out","Active"))</f>
        <v/>
      </c>
    </row>
    <row r="244">
      <c r="I244">
        <f>IF(A244="","",SUMIFS(Expenses!D:D,Expenses!B:B,A244))</f>
        <v/>
      </c>
      <c r="J244">
        <f>IF(A244="","",SUMIFS(Sales!F:F,Sales!E:E,A244))</f>
        <v/>
      </c>
      <c r="K244">
        <f>IF(A244="","",F244-J244)</f>
        <v/>
      </c>
      <c r="L244">
        <f>IF(A244="","",IF(F244=0,"",(E244*F244+I244)/F244))</f>
        <v/>
      </c>
      <c r="M244">
        <f>IF(A244="","",IF(K244&lt;=0,"Sold Out","Active"))</f>
        <v/>
      </c>
    </row>
    <row r="245">
      <c r="I245">
        <f>IF(A245="","",SUMIFS(Expenses!D:D,Expenses!B:B,A245))</f>
        <v/>
      </c>
      <c r="J245">
        <f>IF(A245="","",SUMIFS(Sales!F:F,Sales!E:E,A245))</f>
        <v/>
      </c>
      <c r="K245">
        <f>IF(A245="","",F245-J245)</f>
        <v/>
      </c>
      <c r="L245">
        <f>IF(A245="","",IF(F245=0,"",(E245*F245+I245)/F245))</f>
        <v/>
      </c>
      <c r="M245">
        <f>IF(A245="","",IF(K245&lt;=0,"Sold Out","Active"))</f>
        <v/>
      </c>
    </row>
    <row r="246">
      <c r="I246">
        <f>IF(A246="","",SUMIFS(Expenses!D:D,Expenses!B:B,A246))</f>
        <v/>
      </c>
      <c r="J246">
        <f>IF(A246="","",SUMIFS(Sales!F:F,Sales!E:E,A246))</f>
        <v/>
      </c>
      <c r="K246">
        <f>IF(A246="","",F246-J246)</f>
        <v/>
      </c>
      <c r="L246">
        <f>IF(A246="","",IF(F246=0,"",(E246*F246+I246)/F246))</f>
        <v/>
      </c>
      <c r="M246">
        <f>IF(A246="","",IF(K246&lt;=0,"Sold Out","Active"))</f>
        <v/>
      </c>
    </row>
    <row r="247">
      <c r="I247">
        <f>IF(A247="","",SUMIFS(Expenses!D:D,Expenses!B:B,A247))</f>
        <v/>
      </c>
      <c r="J247">
        <f>IF(A247="","",SUMIFS(Sales!F:F,Sales!E:E,A247))</f>
        <v/>
      </c>
      <c r="K247">
        <f>IF(A247="","",F247-J247)</f>
        <v/>
      </c>
      <c r="L247">
        <f>IF(A247="","",IF(F247=0,"",(E247*F247+I247)/F247))</f>
        <v/>
      </c>
      <c r="M247">
        <f>IF(A247="","",IF(K247&lt;=0,"Sold Out","Active"))</f>
        <v/>
      </c>
    </row>
    <row r="248">
      <c r="I248">
        <f>IF(A248="","",SUMIFS(Expenses!D:D,Expenses!B:B,A248))</f>
        <v/>
      </c>
      <c r="J248">
        <f>IF(A248="","",SUMIFS(Sales!F:F,Sales!E:E,A248))</f>
        <v/>
      </c>
      <c r="K248">
        <f>IF(A248="","",F248-J248)</f>
        <v/>
      </c>
      <c r="L248">
        <f>IF(A248="","",IF(F248=0,"",(E248*F248+I248)/F248))</f>
        <v/>
      </c>
      <c r="M248">
        <f>IF(A248="","",IF(K248&lt;=0,"Sold Out","Active"))</f>
        <v/>
      </c>
    </row>
    <row r="249">
      <c r="I249">
        <f>IF(A249="","",SUMIFS(Expenses!D:D,Expenses!B:B,A249))</f>
        <v/>
      </c>
      <c r="J249">
        <f>IF(A249="","",SUMIFS(Sales!F:F,Sales!E:E,A249))</f>
        <v/>
      </c>
      <c r="K249">
        <f>IF(A249="","",F249-J249)</f>
        <v/>
      </c>
      <c r="L249">
        <f>IF(A249="","",IF(F249=0,"",(E249*F249+I249)/F249))</f>
        <v/>
      </c>
      <c r="M249">
        <f>IF(A249="","",IF(K249&lt;=0,"Sold Out","Active"))</f>
        <v/>
      </c>
    </row>
    <row r="250">
      <c r="I250">
        <f>IF(A250="","",SUMIFS(Expenses!D:D,Expenses!B:B,A250))</f>
        <v/>
      </c>
      <c r="J250">
        <f>IF(A250="","",SUMIFS(Sales!F:F,Sales!E:E,A250))</f>
        <v/>
      </c>
      <c r="K250">
        <f>IF(A250="","",F250-J250)</f>
        <v/>
      </c>
      <c r="L250">
        <f>IF(A250="","",IF(F250=0,"",(E250*F250+I250)/F250))</f>
        <v/>
      </c>
      <c r="M250">
        <f>IF(A250="","",IF(K250&lt;=0,"Sold Out","Active"))</f>
        <v/>
      </c>
    </row>
    <row r="251">
      <c r="I251">
        <f>IF(A251="","",SUMIFS(Expenses!D:D,Expenses!B:B,A251))</f>
        <v/>
      </c>
      <c r="J251">
        <f>IF(A251="","",SUMIFS(Sales!F:F,Sales!E:E,A251))</f>
        <v/>
      </c>
      <c r="K251">
        <f>IF(A251="","",F251-J251)</f>
        <v/>
      </c>
      <c r="L251">
        <f>IF(A251="","",IF(F251=0,"",(E251*F251+I251)/F251))</f>
        <v/>
      </c>
      <c r="M251">
        <f>IF(A251="","",IF(K251&lt;=0,"Sold Out","Active"))</f>
        <v/>
      </c>
    </row>
    <row r="252">
      <c r="I252">
        <f>IF(A252="","",SUMIFS(Expenses!D:D,Expenses!B:B,A252))</f>
        <v/>
      </c>
      <c r="J252">
        <f>IF(A252="","",SUMIFS(Sales!F:F,Sales!E:E,A252))</f>
        <v/>
      </c>
      <c r="K252">
        <f>IF(A252="","",F252-J252)</f>
        <v/>
      </c>
      <c r="L252">
        <f>IF(A252="","",IF(F252=0,"",(E252*F252+I252)/F252))</f>
        <v/>
      </c>
      <c r="M252">
        <f>IF(A252="","",IF(K252&lt;=0,"Sold Out","Active"))</f>
        <v/>
      </c>
    </row>
    <row r="253">
      <c r="I253">
        <f>IF(A253="","",SUMIFS(Expenses!D:D,Expenses!B:B,A253))</f>
        <v/>
      </c>
      <c r="J253">
        <f>IF(A253="","",SUMIFS(Sales!F:F,Sales!E:E,A253))</f>
        <v/>
      </c>
      <c r="K253">
        <f>IF(A253="","",F253-J253)</f>
        <v/>
      </c>
      <c r="L253">
        <f>IF(A253="","",IF(F253=0,"",(E253*F253+I253)/F253))</f>
        <v/>
      </c>
      <c r="M253">
        <f>IF(A253="","",IF(K253&lt;=0,"Sold Out","Active"))</f>
        <v/>
      </c>
    </row>
    <row r="254">
      <c r="I254">
        <f>IF(A254="","",SUMIFS(Expenses!D:D,Expenses!B:B,A254))</f>
        <v/>
      </c>
      <c r="J254">
        <f>IF(A254="","",SUMIFS(Sales!F:F,Sales!E:E,A254))</f>
        <v/>
      </c>
      <c r="K254">
        <f>IF(A254="","",F254-J254)</f>
        <v/>
      </c>
      <c r="L254">
        <f>IF(A254="","",IF(F254=0,"",(E254*F254+I254)/F254))</f>
        <v/>
      </c>
      <c r="M254">
        <f>IF(A254="","",IF(K254&lt;=0,"Sold Out","Active"))</f>
        <v/>
      </c>
    </row>
    <row r="255">
      <c r="I255">
        <f>IF(A255="","",SUMIFS(Expenses!D:D,Expenses!B:B,A255))</f>
        <v/>
      </c>
      <c r="J255">
        <f>IF(A255="","",SUMIFS(Sales!F:F,Sales!E:E,A255))</f>
        <v/>
      </c>
      <c r="K255">
        <f>IF(A255="","",F255-J255)</f>
        <v/>
      </c>
      <c r="L255">
        <f>IF(A255="","",IF(F255=0,"",(E255*F255+I255)/F255))</f>
        <v/>
      </c>
      <c r="M255">
        <f>IF(A255="","",IF(K255&lt;=0,"Sold Out","Active"))</f>
        <v/>
      </c>
    </row>
    <row r="256">
      <c r="I256">
        <f>IF(A256="","",SUMIFS(Expenses!D:D,Expenses!B:B,A256))</f>
        <v/>
      </c>
      <c r="J256">
        <f>IF(A256="","",SUMIFS(Sales!F:F,Sales!E:E,A256))</f>
        <v/>
      </c>
      <c r="K256">
        <f>IF(A256="","",F256-J256)</f>
        <v/>
      </c>
      <c r="L256">
        <f>IF(A256="","",IF(F256=0,"",(E256*F256+I256)/F256))</f>
        <v/>
      </c>
      <c r="M256">
        <f>IF(A256="","",IF(K256&lt;=0,"Sold Out","Active"))</f>
        <v/>
      </c>
    </row>
    <row r="257">
      <c r="I257">
        <f>IF(A257="","",SUMIFS(Expenses!D:D,Expenses!B:B,A257))</f>
        <v/>
      </c>
      <c r="J257">
        <f>IF(A257="","",SUMIFS(Sales!F:F,Sales!E:E,A257))</f>
        <v/>
      </c>
      <c r="K257">
        <f>IF(A257="","",F257-J257)</f>
        <v/>
      </c>
      <c r="L257">
        <f>IF(A257="","",IF(F257=0,"",(E257*F257+I257)/F257))</f>
        <v/>
      </c>
      <c r="M257">
        <f>IF(A257="","",IF(K257&lt;=0,"Sold Out","Active"))</f>
        <v/>
      </c>
    </row>
    <row r="258">
      <c r="I258">
        <f>IF(A258="","",SUMIFS(Expenses!D:D,Expenses!B:B,A258))</f>
        <v/>
      </c>
      <c r="J258">
        <f>IF(A258="","",SUMIFS(Sales!F:F,Sales!E:E,A258))</f>
        <v/>
      </c>
      <c r="K258">
        <f>IF(A258="","",F258-J258)</f>
        <v/>
      </c>
      <c r="L258">
        <f>IF(A258="","",IF(F258=0,"",(E258*F258+I258)/F258))</f>
        <v/>
      </c>
      <c r="M258">
        <f>IF(A258="","",IF(K258&lt;=0,"Sold Out","Active"))</f>
        <v/>
      </c>
    </row>
    <row r="259">
      <c r="I259">
        <f>IF(A259="","",SUMIFS(Expenses!D:D,Expenses!B:B,A259))</f>
        <v/>
      </c>
      <c r="J259">
        <f>IF(A259="","",SUMIFS(Sales!F:F,Sales!E:E,A259))</f>
        <v/>
      </c>
      <c r="K259">
        <f>IF(A259="","",F259-J259)</f>
        <v/>
      </c>
      <c r="L259">
        <f>IF(A259="","",IF(F259=0,"",(E259*F259+I259)/F259))</f>
        <v/>
      </c>
      <c r="M259">
        <f>IF(A259="","",IF(K259&lt;=0,"Sold Out","Active"))</f>
        <v/>
      </c>
    </row>
    <row r="260">
      <c r="I260">
        <f>IF(A260="","",SUMIFS(Expenses!D:D,Expenses!B:B,A260))</f>
        <v/>
      </c>
      <c r="J260">
        <f>IF(A260="","",SUMIFS(Sales!F:F,Sales!E:E,A260))</f>
        <v/>
      </c>
      <c r="K260">
        <f>IF(A260="","",F260-J260)</f>
        <v/>
      </c>
      <c r="L260">
        <f>IF(A260="","",IF(F260=0,"",(E260*F260+I260)/F260))</f>
        <v/>
      </c>
      <c r="M260">
        <f>IF(A260="","",IF(K260&lt;=0,"Sold Out","Active"))</f>
        <v/>
      </c>
    </row>
    <row r="261">
      <c r="I261">
        <f>IF(A261="","",SUMIFS(Expenses!D:D,Expenses!B:B,A261))</f>
        <v/>
      </c>
      <c r="J261">
        <f>IF(A261="","",SUMIFS(Sales!F:F,Sales!E:E,A261))</f>
        <v/>
      </c>
      <c r="K261">
        <f>IF(A261="","",F261-J261)</f>
        <v/>
      </c>
      <c r="L261">
        <f>IF(A261="","",IF(F261=0,"",(E261*F261+I261)/F261))</f>
        <v/>
      </c>
      <c r="M261">
        <f>IF(A261="","",IF(K261&lt;=0,"Sold Out","Active"))</f>
        <v/>
      </c>
    </row>
    <row r="262">
      <c r="I262">
        <f>IF(A262="","",SUMIFS(Expenses!D:D,Expenses!B:B,A262))</f>
        <v/>
      </c>
      <c r="J262">
        <f>IF(A262="","",SUMIFS(Sales!F:F,Sales!E:E,A262))</f>
        <v/>
      </c>
      <c r="K262">
        <f>IF(A262="","",F262-J262)</f>
        <v/>
      </c>
      <c r="L262">
        <f>IF(A262="","",IF(F262=0,"",(E262*F262+I262)/F262))</f>
        <v/>
      </c>
      <c r="M262">
        <f>IF(A262="","",IF(K262&lt;=0,"Sold Out","Active"))</f>
        <v/>
      </c>
    </row>
    <row r="263">
      <c r="I263">
        <f>IF(A263="","",SUMIFS(Expenses!D:D,Expenses!B:B,A263))</f>
        <v/>
      </c>
      <c r="J263">
        <f>IF(A263="","",SUMIFS(Sales!F:F,Sales!E:E,A263))</f>
        <v/>
      </c>
      <c r="K263">
        <f>IF(A263="","",F263-J263)</f>
        <v/>
      </c>
      <c r="L263">
        <f>IF(A263="","",IF(F263=0,"",(E263*F263+I263)/F263))</f>
        <v/>
      </c>
      <c r="M263">
        <f>IF(A263="","",IF(K263&lt;=0,"Sold Out","Active"))</f>
        <v/>
      </c>
    </row>
    <row r="264">
      <c r="I264">
        <f>IF(A264="","",SUMIFS(Expenses!D:D,Expenses!B:B,A264))</f>
        <v/>
      </c>
      <c r="J264">
        <f>IF(A264="","",SUMIFS(Sales!F:F,Sales!E:E,A264))</f>
        <v/>
      </c>
      <c r="K264">
        <f>IF(A264="","",F264-J264)</f>
        <v/>
      </c>
      <c r="L264">
        <f>IF(A264="","",IF(F264=0,"",(E264*F264+I264)/F264))</f>
        <v/>
      </c>
      <c r="M264">
        <f>IF(A264="","",IF(K264&lt;=0,"Sold Out","Active"))</f>
        <v/>
      </c>
    </row>
    <row r="265">
      <c r="I265">
        <f>IF(A265="","",SUMIFS(Expenses!D:D,Expenses!B:B,A265))</f>
        <v/>
      </c>
      <c r="J265">
        <f>IF(A265="","",SUMIFS(Sales!F:F,Sales!E:E,A265))</f>
        <v/>
      </c>
      <c r="K265">
        <f>IF(A265="","",F265-J265)</f>
        <v/>
      </c>
      <c r="L265">
        <f>IF(A265="","",IF(F265=0,"",(E265*F265+I265)/F265))</f>
        <v/>
      </c>
      <c r="M265">
        <f>IF(A265="","",IF(K265&lt;=0,"Sold Out","Active"))</f>
        <v/>
      </c>
    </row>
    <row r="266">
      <c r="I266">
        <f>IF(A266="","",SUMIFS(Expenses!D:D,Expenses!B:B,A266))</f>
        <v/>
      </c>
      <c r="J266">
        <f>IF(A266="","",SUMIFS(Sales!F:F,Sales!E:E,A266))</f>
        <v/>
      </c>
      <c r="K266">
        <f>IF(A266="","",F266-J266)</f>
        <v/>
      </c>
      <c r="L266">
        <f>IF(A266="","",IF(F266=0,"",(E266*F266+I266)/F266))</f>
        <v/>
      </c>
      <c r="M266">
        <f>IF(A266="","",IF(K266&lt;=0,"Sold Out","Active"))</f>
        <v/>
      </c>
    </row>
    <row r="267">
      <c r="I267">
        <f>IF(A267="","",SUMIFS(Expenses!D:D,Expenses!B:B,A267))</f>
        <v/>
      </c>
      <c r="J267">
        <f>IF(A267="","",SUMIFS(Sales!F:F,Sales!E:E,A267))</f>
        <v/>
      </c>
      <c r="K267">
        <f>IF(A267="","",F267-J267)</f>
        <v/>
      </c>
      <c r="L267">
        <f>IF(A267="","",IF(F267=0,"",(E267*F267+I267)/F267))</f>
        <v/>
      </c>
      <c r="M267">
        <f>IF(A267="","",IF(K267&lt;=0,"Sold Out","Active"))</f>
        <v/>
      </c>
    </row>
    <row r="268">
      <c r="I268">
        <f>IF(A268="","",SUMIFS(Expenses!D:D,Expenses!B:B,A268))</f>
        <v/>
      </c>
      <c r="J268">
        <f>IF(A268="","",SUMIFS(Sales!F:F,Sales!E:E,A268))</f>
        <v/>
      </c>
      <c r="K268">
        <f>IF(A268="","",F268-J268)</f>
        <v/>
      </c>
      <c r="L268">
        <f>IF(A268="","",IF(F268=0,"",(E268*F268+I268)/F268))</f>
        <v/>
      </c>
      <c r="M268">
        <f>IF(A268="","",IF(K268&lt;=0,"Sold Out","Active"))</f>
        <v/>
      </c>
    </row>
    <row r="269">
      <c r="I269">
        <f>IF(A269="","",SUMIFS(Expenses!D:D,Expenses!B:B,A269))</f>
        <v/>
      </c>
      <c r="J269">
        <f>IF(A269="","",SUMIFS(Sales!F:F,Sales!E:E,A269))</f>
        <v/>
      </c>
      <c r="K269">
        <f>IF(A269="","",F269-J269)</f>
        <v/>
      </c>
      <c r="L269">
        <f>IF(A269="","",IF(F269=0,"",(E269*F269+I269)/F269))</f>
        <v/>
      </c>
      <c r="M269">
        <f>IF(A269="","",IF(K269&lt;=0,"Sold Out","Active"))</f>
        <v/>
      </c>
    </row>
    <row r="270">
      <c r="I270">
        <f>IF(A270="","",SUMIFS(Expenses!D:D,Expenses!B:B,A270))</f>
        <v/>
      </c>
      <c r="J270">
        <f>IF(A270="","",SUMIFS(Sales!F:F,Sales!E:E,A270))</f>
        <v/>
      </c>
      <c r="K270">
        <f>IF(A270="","",F270-J270)</f>
        <v/>
      </c>
      <c r="L270">
        <f>IF(A270="","",IF(F270=0,"",(E270*F270+I270)/F270))</f>
        <v/>
      </c>
      <c r="M270">
        <f>IF(A270="","",IF(K270&lt;=0,"Sold Out","Active"))</f>
        <v/>
      </c>
    </row>
    <row r="271">
      <c r="I271">
        <f>IF(A271="","",SUMIFS(Expenses!D:D,Expenses!B:B,A271))</f>
        <v/>
      </c>
      <c r="J271">
        <f>IF(A271="","",SUMIFS(Sales!F:F,Sales!E:E,A271))</f>
        <v/>
      </c>
      <c r="K271">
        <f>IF(A271="","",F271-J271)</f>
        <v/>
      </c>
      <c r="L271">
        <f>IF(A271="","",IF(F271=0,"",(E271*F271+I271)/F271))</f>
        <v/>
      </c>
      <c r="M271">
        <f>IF(A271="","",IF(K271&lt;=0,"Sold Out","Active"))</f>
        <v/>
      </c>
    </row>
    <row r="272">
      <c r="I272">
        <f>IF(A272="","",SUMIFS(Expenses!D:D,Expenses!B:B,A272))</f>
        <v/>
      </c>
      <c r="J272">
        <f>IF(A272="","",SUMIFS(Sales!F:F,Sales!E:E,A272))</f>
        <v/>
      </c>
      <c r="K272">
        <f>IF(A272="","",F272-J272)</f>
        <v/>
      </c>
      <c r="L272">
        <f>IF(A272="","",IF(F272=0,"",(E272*F272+I272)/F272))</f>
        <v/>
      </c>
      <c r="M272">
        <f>IF(A272="","",IF(K272&lt;=0,"Sold Out","Active"))</f>
        <v/>
      </c>
    </row>
    <row r="273">
      <c r="I273">
        <f>IF(A273="","",SUMIFS(Expenses!D:D,Expenses!B:B,A273))</f>
        <v/>
      </c>
      <c r="J273">
        <f>IF(A273="","",SUMIFS(Sales!F:F,Sales!E:E,A273))</f>
        <v/>
      </c>
      <c r="K273">
        <f>IF(A273="","",F273-J273)</f>
        <v/>
      </c>
      <c r="L273">
        <f>IF(A273="","",IF(F273=0,"",(E273*F273+I273)/F273))</f>
        <v/>
      </c>
      <c r="M273">
        <f>IF(A273="","",IF(K273&lt;=0,"Sold Out","Active"))</f>
        <v/>
      </c>
    </row>
    <row r="274">
      <c r="I274">
        <f>IF(A274="","",SUMIFS(Expenses!D:D,Expenses!B:B,A274))</f>
        <v/>
      </c>
      <c r="J274">
        <f>IF(A274="","",SUMIFS(Sales!F:F,Sales!E:E,A274))</f>
        <v/>
      </c>
      <c r="K274">
        <f>IF(A274="","",F274-J274)</f>
        <v/>
      </c>
      <c r="L274">
        <f>IF(A274="","",IF(F274=0,"",(E274*F274+I274)/F274))</f>
        <v/>
      </c>
      <c r="M274">
        <f>IF(A274="","",IF(K274&lt;=0,"Sold Out","Active"))</f>
        <v/>
      </c>
    </row>
    <row r="275">
      <c r="I275">
        <f>IF(A275="","",SUMIFS(Expenses!D:D,Expenses!B:B,A275))</f>
        <v/>
      </c>
      <c r="J275">
        <f>IF(A275="","",SUMIFS(Sales!F:F,Sales!E:E,A275))</f>
        <v/>
      </c>
      <c r="K275">
        <f>IF(A275="","",F275-J275)</f>
        <v/>
      </c>
      <c r="L275">
        <f>IF(A275="","",IF(F275=0,"",(E275*F275+I275)/F275))</f>
        <v/>
      </c>
      <c r="M275">
        <f>IF(A275="","",IF(K275&lt;=0,"Sold Out","Active"))</f>
        <v/>
      </c>
    </row>
    <row r="276">
      <c r="I276">
        <f>IF(A276="","",SUMIFS(Expenses!D:D,Expenses!B:B,A276))</f>
        <v/>
      </c>
      <c r="J276">
        <f>IF(A276="","",SUMIFS(Sales!F:F,Sales!E:E,A276))</f>
        <v/>
      </c>
      <c r="K276">
        <f>IF(A276="","",F276-J276)</f>
        <v/>
      </c>
      <c r="L276">
        <f>IF(A276="","",IF(F276=0,"",(E276*F276+I276)/F276))</f>
        <v/>
      </c>
      <c r="M276">
        <f>IF(A276="","",IF(K276&lt;=0,"Sold Out","Active"))</f>
        <v/>
      </c>
    </row>
    <row r="277">
      <c r="I277">
        <f>IF(A277="","",SUMIFS(Expenses!D:D,Expenses!B:B,A277))</f>
        <v/>
      </c>
      <c r="J277">
        <f>IF(A277="","",SUMIFS(Sales!F:F,Sales!E:E,A277))</f>
        <v/>
      </c>
      <c r="K277">
        <f>IF(A277="","",F277-J277)</f>
        <v/>
      </c>
      <c r="L277">
        <f>IF(A277="","",IF(F277=0,"",(E277*F277+I277)/F277))</f>
        <v/>
      </c>
      <c r="M277">
        <f>IF(A277="","",IF(K277&lt;=0,"Sold Out","Active"))</f>
        <v/>
      </c>
    </row>
    <row r="278">
      <c r="I278">
        <f>IF(A278="","",SUMIFS(Expenses!D:D,Expenses!B:B,A278))</f>
        <v/>
      </c>
      <c r="J278">
        <f>IF(A278="","",SUMIFS(Sales!F:F,Sales!E:E,A278))</f>
        <v/>
      </c>
      <c r="K278">
        <f>IF(A278="","",F278-J278)</f>
        <v/>
      </c>
      <c r="L278">
        <f>IF(A278="","",IF(F278=0,"",(E278*F278+I278)/F278))</f>
        <v/>
      </c>
      <c r="M278">
        <f>IF(A278="","",IF(K278&lt;=0,"Sold Out","Active"))</f>
        <v/>
      </c>
    </row>
    <row r="279">
      <c r="I279">
        <f>IF(A279="","",SUMIFS(Expenses!D:D,Expenses!B:B,A279))</f>
        <v/>
      </c>
      <c r="J279">
        <f>IF(A279="","",SUMIFS(Sales!F:F,Sales!E:E,A279))</f>
        <v/>
      </c>
      <c r="K279">
        <f>IF(A279="","",F279-J279)</f>
        <v/>
      </c>
      <c r="L279">
        <f>IF(A279="","",IF(F279=0,"",(E279*F279+I279)/F279))</f>
        <v/>
      </c>
      <c r="M279">
        <f>IF(A279="","",IF(K279&lt;=0,"Sold Out","Active"))</f>
        <v/>
      </c>
    </row>
    <row r="280">
      <c r="I280">
        <f>IF(A280="","",SUMIFS(Expenses!D:D,Expenses!B:B,A280))</f>
        <v/>
      </c>
      <c r="J280">
        <f>IF(A280="","",SUMIFS(Sales!F:F,Sales!E:E,A280))</f>
        <v/>
      </c>
      <c r="K280">
        <f>IF(A280="","",F280-J280)</f>
        <v/>
      </c>
      <c r="L280">
        <f>IF(A280="","",IF(F280=0,"",(E280*F280+I280)/F280))</f>
        <v/>
      </c>
      <c r="M280">
        <f>IF(A280="","",IF(K280&lt;=0,"Sold Out","Active"))</f>
        <v/>
      </c>
    </row>
    <row r="281">
      <c r="I281">
        <f>IF(A281="","",SUMIFS(Expenses!D:D,Expenses!B:B,A281))</f>
        <v/>
      </c>
      <c r="J281">
        <f>IF(A281="","",SUMIFS(Sales!F:F,Sales!E:E,A281))</f>
        <v/>
      </c>
      <c r="K281">
        <f>IF(A281="","",F281-J281)</f>
        <v/>
      </c>
      <c r="L281">
        <f>IF(A281="","",IF(F281=0,"",(E281*F281+I281)/F281))</f>
        <v/>
      </c>
      <c r="M281">
        <f>IF(A281="","",IF(K281&lt;=0,"Sold Out","Active"))</f>
        <v/>
      </c>
    </row>
    <row r="282">
      <c r="I282">
        <f>IF(A282="","",SUMIFS(Expenses!D:D,Expenses!B:B,A282))</f>
        <v/>
      </c>
      <c r="J282">
        <f>IF(A282="","",SUMIFS(Sales!F:F,Sales!E:E,A282))</f>
        <v/>
      </c>
      <c r="K282">
        <f>IF(A282="","",F282-J282)</f>
        <v/>
      </c>
      <c r="L282">
        <f>IF(A282="","",IF(F282=0,"",(E282*F282+I282)/F282))</f>
        <v/>
      </c>
      <c r="M282">
        <f>IF(A282="","",IF(K282&lt;=0,"Sold Out","Active"))</f>
        <v/>
      </c>
    </row>
    <row r="283">
      <c r="I283">
        <f>IF(A283="","",SUMIFS(Expenses!D:D,Expenses!B:B,A283))</f>
        <v/>
      </c>
      <c r="J283">
        <f>IF(A283="","",SUMIFS(Sales!F:F,Sales!E:E,A283))</f>
        <v/>
      </c>
      <c r="K283">
        <f>IF(A283="","",F283-J283)</f>
        <v/>
      </c>
      <c r="L283">
        <f>IF(A283="","",IF(F283=0,"",(E283*F283+I283)/F283))</f>
        <v/>
      </c>
      <c r="M283">
        <f>IF(A283="","",IF(K283&lt;=0,"Sold Out","Active"))</f>
        <v/>
      </c>
    </row>
    <row r="284">
      <c r="I284">
        <f>IF(A284="","",SUMIFS(Expenses!D:D,Expenses!B:B,A284))</f>
        <v/>
      </c>
      <c r="J284">
        <f>IF(A284="","",SUMIFS(Sales!F:F,Sales!E:E,A284))</f>
        <v/>
      </c>
      <c r="K284">
        <f>IF(A284="","",F284-J284)</f>
        <v/>
      </c>
      <c r="L284">
        <f>IF(A284="","",IF(F284=0,"",(E284*F284+I284)/F284))</f>
        <v/>
      </c>
      <c r="M284">
        <f>IF(A284="","",IF(K284&lt;=0,"Sold Out","Active"))</f>
        <v/>
      </c>
    </row>
    <row r="285">
      <c r="I285">
        <f>IF(A285="","",SUMIFS(Expenses!D:D,Expenses!B:B,A285))</f>
        <v/>
      </c>
      <c r="J285">
        <f>IF(A285="","",SUMIFS(Sales!F:F,Sales!E:E,A285))</f>
        <v/>
      </c>
      <c r="K285">
        <f>IF(A285="","",F285-J285)</f>
        <v/>
      </c>
      <c r="L285">
        <f>IF(A285="","",IF(F285=0,"",(E285*F285+I285)/F285))</f>
        <v/>
      </c>
      <c r="M285">
        <f>IF(A285="","",IF(K285&lt;=0,"Sold Out","Active"))</f>
        <v/>
      </c>
    </row>
    <row r="286">
      <c r="I286">
        <f>IF(A286="","",SUMIFS(Expenses!D:D,Expenses!B:B,A286))</f>
        <v/>
      </c>
      <c r="J286">
        <f>IF(A286="","",SUMIFS(Sales!F:F,Sales!E:E,A286))</f>
        <v/>
      </c>
      <c r="K286">
        <f>IF(A286="","",F286-J286)</f>
        <v/>
      </c>
      <c r="L286">
        <f>IF(A286="","",IF(F286=0,"",(E286*F286+I286)/F286))</f>
        <v/>
      </c>
      <c r="M286">
        <f>IF(A286="","",IF(K286&lt;=0,"Sold Out","Active"))</f>
        <v/>
      </c>
    </row>
    <row r="287">
      <c r="I287">
        <f>IF(A287="","",SUMIFS(Expenses!D:D,Expenses!B:B,A287))</f>
        <v/>
      </c>
      <c r="J287">
        <f>IF(A287="","",SUMIFS(Sales!F:F,Sales!E:E,A287))</f>
        <v/>
      </c>
      <c r="K287">
        <f>IF(A287="","",F287-J287)</f>
        <v/>
      </c>
      <c r="L287">
        <f>IF(A287="","",IF(F287=0,"",(E287*F287+I287)/F287))</f>
        <v/>
      </c>
      <c r="M287">
        <f>IF(A287="","",IF(K287&lt;=0,"Sold Out","Active"))</f>
        <v/>
      </c>
    </row>
    <row r="288">
      <c r="I288">
        <f>IF(A288="","",SUMIFS(Expenses!D:D,Expenses!B:B,A288))</f>
        <v/>
      </c>
      <c r="J288">
        <f>IF(A288="","",SUMIFS(Sales!F:F,Sales!E:E,A288))</f>
        <v/>
      </c>
      <c r="K288">
        <f>IF(A288="","",F288-J288)</f>
        <v/>
      </c>
      <c r="L288">
        <f>IF(A288="","",IF(F288=0,"",(E288*F288+I288)/F288))</f>
        <v/>
      </c>
      <c r="M288">
        <f>IF(A288="","",IF(K288&lt;=0,"Sold Out","Active"))</f>
        <v/>
      </c>
    </row>
    <row r="289">
      <c r="I289">
        <f>IF(A289="","",SUMIFS(Expenses!D:D,Expenses!B:B,A289))</f>
        <v/>
      </c>
      <c r="J289">
        <f>IF(A289="","",SUMIFS(Sales!F:F,Sales!E:E,A289))</f>
        <v/>
      </c>
      <c r="K289">
        <f>IF(A289="","",F289-J289)</f>
        <v/>
      </c>
      <c r="L289">
        <f>IF(A289="","",IF(F289=0,"",(E289*F289+I289)/F289))</f>
        <v/>
      </c>
      <c r="M289">
        <f>IF(A289="","",IF(K289&lt;=0,"Sold Out","Active"))</f>
        <v/>
      </c>
    </row>
    <row r="290">
      <c r="I290">
        <f>IF(A290="","",SUMIFS(Expenses!D:D,Expenses!B:B,A290))</f>
        <v/>
      </c>
      <c r="J290">
        <f>IF(A290="","",SUMIFS(Sales!F:F,Sales!E:E,A290))</f>
        <v/>
      </c>
      <c r="K290">
        <f>IF(A290="","",F290-J290)</f>
        <v/>
      </c>
      <c r="L290">
        <f>IF(A290="","",IF(F290=0,"",(E290*F290+I290)/F290))</f>
        <v/>
      </c>
      <c r="M290">
        <f>IF(A290="","",IF(K290&lt;=0,"Sold Out","Active"))</f>
        <v/>
      </c>
    </row>
    <row r="291">
      <c r="I291">
        <f>IF(A291="","",SUMIFS(Expenses!D:D,Expenses!B:B,A291))</f>
        <v/>
      </c>
      <c r="J291">
        <f>IF(A291="","",SUMIFS(Sales!F:F,Sales!E:E,A291))</f>
        <v/>
      </c>
      <c r="K291">
        <f>IF(A291="","",F291-J291)</f>
        <v/>
      </c>
      <c r="L291">
        <f>IF(A291="","",IF(F291=0,"",(E291*F291+I291)/F291))</f>
        <v/>
      </c>
      <c r="M291">
        <f>IF(A291="","",IF(K291&lt;=0,"Sold Out","Active"))</f>
        <v/>
      </c>
    </row>
    <row r="292">
      <c r="I292">
        <f>IF(A292="","",SUMIFS(Expenses!D:D,Expenses!B:B,A292))</f>
        <v/>
      </c>
      <c r="J292">
        <f>IF(A292="","",SUMIFS(Sales!F:F,Sales!E:E,A292))</f>
        <v/>
      </c>
      <c r="K292">
        <f>IF(A292="","",F292-J292)</f>
        <v/>
      </c>
      <c r="L292">
        <f>IF(A292="","",IF(F292=0,"",(E292*F292+I292)/F292))</f>
        <v/>
      </c>
      <c r="M292">
        <f>IF(A292="","",IF(K292&lt;=0,"Sold Out","Active"))</f>
        <v/>
      </c>
    </row>
    <row r="293">
      <c r="I293">
        <f>IF(A293="","",SUMIFS(Expenses!D:D,Expenses!B:B,A293))</f>
        <v/>
      </c>
      <c r="J293">
        <f>IF(A293="","",SUMIFS(Sales!F:F,Sales!E:E,A293))</f>
        <v/>
      </c>
      <c r="K293">
        <f>IF(A293="","",F293-J293)</f>
        <v/>
      </c>
      <c r="L293">
        <f>IF(A293="","",IF(F293=0,"",(E293*F293+I293)/F293))</f>
        <v/>
      </c>
      <c r="M293">
        <f>IF(A293="","",IF(K293&lt;=0,"Sold Out","Active"))</f>
        <v/>
      </c>
    </row>
    <row r="294">
      <c r="I294">
        <f>IF(A294="","",SUMIFS(Expenses!D:D,Expenses!B:B,A294))</f>
        <v/>
      </c>
      <c r="J294">
        <f>IF(A294="","",SUMIFS(Sales!F:F,Sales!E:E,A294))</f>
        <v/>
      </c>
      <c r="K294">
        <f>IF(A294="","",F294-J294)</f>
        <v/>
      </c>
      <c r="L294">
        <f>IF(A294="","",IF(F294=0,"",(E294*F294+I294)/F294))</f>
        <v/>
      </c>
      <c r="M294">
        <f>IF(A294="","",IF(K294&lt;=0,"Sold Out","Active"))</f>
        <v/>
      </c>
    </row>
    <row r="295">
      <c r="I295">
        <f>IF(A295="","",SUMIFS(Expenses!D:D,Expenses!B:B,A295))</f>
        <v/>
      </c>
      <c r="J295">
        <f>IF(A295="","",SUMIFS(Sales!F:F,Sales!E:E,A295))</f>
        <v/>
      </c>
      <c r="K295">
        <f>IF(A295="","",F295-J295)</f>
        <v/>
      </c>
      <c r="L295">
        <f>IF(A295="","",IF(F295=0,"",(E295*F295+I295)/F295))</f>
        <v/>
      </c>
      <c r="M295">
        <f>IF(A295="","",IF(K295&lt;=0,"Sold Out","Active"))</f>
        <v/>
      </c>
    </row>
    <row r="296">
      <c r="I296">
        <f>IF(A296="","",SUMIFS(Expenses!D:D,Expenses!B:B,A296))</f>
        <v/>
      </c>
      <c r="J296">
        <f>IF(A296="","",SUMIFS(Sales!F:F,Sales!E:E,A296))</f>
        <v/>
      </c>
      <c r="K296">
        <f>IF(A296="","",F296-J296)</f>
        <v/>
      </c>
      <c r="L296">
        <f>IF(A296="","",IF(F296=0,"",(E296*F296+I296)/F296))</f>
        <v/>
      </c>
      <c r="M296">
        <f>IF(A296="","",IF(K296&lt;=0,"Sold Out","Active"))</f>
        <v/>
      </c>
    </row>
    <row r="297">
      <c r="I297">
        <f>IF(A297="","",SUMIFS(Expenses!D:D,Expenses!B:B,A297))</f>
        <v/>
      </c>
      <c r="J297">
        <f>IF(A297="","",SUMIFS(Sales!F:F,Sales!E:E,A297))</f>
        <v/>
      </c>
      <c r="K297">
        <f>IF(A297="","",F297-J297)</f>
        <v/>
      </c>
      <c r="L297">
        <f>IF(A297="","",IF(F297=0,"",(E297*F297+I297)/F297))</f>
        <v/>
      </c>
      <c r="M297">
        <f>IF(A297="","",IF(K297&lt;=0,"Sold Out","Active"))</f>
        <v/>
      </c>
    </row>
    <row r="298">
      <c r="I298">
        <f>IF(A298="","",SUMIFS(Expenses!D:D,Expenses!B:B,A298))</f>
        <v/>
      </c>
      <c r="J298">
        <f>IF(A298="","",SUMIFS(Sales!F:F,Sales!E:E,A298))</f>
        <v/>
      </c>
      <c r="K298">
        <f>IF(A298="","",F298-J298)</f>
        <v/>
      </c>
      <c r="L298">
        <f>IF(A298="","",IF(F298=0,"",(E298*F298+I298)/F298))</f>
        <v/>
      </c>
      <c r="M298">
        <f>IF(A298="","",IF(K298&lt;=0,"Sold Out","Active"))</f>
        <v/>
      </c>
    </row>
    <row r="299">
      <c r="I299">
        <f>IF(A299="","",SUMIFS(Expenses!D:D,Expenses!B:B,A299))</f>
        <v/>
      </c>
      <c r="J299">
        <f>IF(A299="","",SUMIFS(Sales!F:F,Sales!E:E,A299))</f>
        <v/>
      </c>
      <c r="K299">
        <f>IF(A299="","",F299-J299)</f>
        <v/>
      </c>
      <c r="L299">
        <f>IF(A299="","",IF(F299=0,"",(E299*F299+I299)/F299))</f>
        <v/>
      </c>
      <c r="M299">
        <f>IF(A299="","",IF(K299&lt;=0,"Sold Out","Active"))</f>
        <v/>
      </c>
    </row>
    <row r="300">
      <c r="I300">
        <f>IF(A300="","",SUMIFS(Expenses!D:D,Expenses!B:B,A300))</f>
        <v/>
      </c>
      <c r="J300">
        <f>IF(A300="","",SUMIFS(Sales!F:F,Sales!E:E,A300))</f>
        <v/>
      </c>
      <c r="K300">
        <f>IF(A300="","",F300-J300)</f>
        <v/>
      </c>
      <c r="L300">
        <f>IF(A300="","",IF(F300=0,"",(E300*F300+I300)/F300))</f>
        <v/>
      </c>
      <c r="M300">
        <f>IF(A300="","",IF(K300&lt;=0,"Sold Out","Active"))</f>
        <v/>
      </c>
    </row>
    <row r="301">
      <c r="I301">
        <f>IF(A301="","",SUMIFS(Expenses!D:D,Expenses!B:B,A301))</f>
        <v/>
      </c>
      <c r="J301">
        <f>IF(A301="","",SUMIFS(Sales!F:F,Sales!E:E,A301))</f>
        <v/>
      </c>
      <c r="K301">
        <f>IF(A301="","",F301-J301)</f>
        <v/>
      </c>
      <c r="L301">
        <f>IF(A301="","",IF(F301=0,"",(E301*F301+I301)/F301))</f>
        <v/>
      </c>
      <c r="M301">
        <f>IF(A301="","",IF(K301&lt;=0,"Sold Out","Active"))</f>
        <v/>
      </c>
    </row>
    <row r="302">
      <c r="I302">
        <f>IF(A302="","",SUMIFS(Expenses!D:D,Expenses!B:B,A302))</f>
        <v/>
      </c>
      <c r="J302">
        <f>IF(A302="","",SUMIFS(Sales!F:F,Sales!E:E,A302))</f>
        <v/>
      </c>
      <c r="K302">
        <f>IF(A302="","",F302-J302)</f>
        <v/>
      </c>
      <c r="L302">
        <f>IF(A302="","",IF(F302=0,"",(E302*F302+I302)/F302))</f>
        <v/>
      </c>
      <c r="M302">
        <f>IF(A302="","",IF(K302&lt;=0,"Sold Out","Active"))</f>
        <v/>
      </c>
    </row>
    <row r="303">
      <c r="I303">
        <f>IF(A303="","",SUMIFS(Expenses!D:D,Expenses!B:B,A303))</f>
        <v/>
      </c>
      <c r="J303">
        <f>IF(A303="","",SUMIFS(Sales!F:F,Sales!E:E,A303))</f>
        <v/>
      </c>
      <c r="K303">
        <f>IF(A303="","",F303-J303)</f>
        <v/>
      </c>
      <c r="L303">
        <f>IF(A303="","",IF(F303=0,"",(E303*F303+I303)/F303))</f>
        <v/>
      </c>
      <c r="M303">
        <f>IF(A303="","",IF(K303&lt;=0,"Sold Out","Active"))</f>
        <v/>
      </c>
    </row>
    <row r="304">
      <c r="I304">
        <f>IF(A304="","",SUMIFS(Expenses!D:D,Expenses!B:B,A304))</f>
        <v/>
      </c>
      <c r="J304">
        <f>IF(A304="","",SUMIFS(Sales!F:F,Sales!E:E,A304))</f>
        <v/>
      </c>
      <c r="K304">
        <f>IF(A304="","",F304-J304)</f>
        <v/>
      </c>
      <c r="L304">
        <f>IF(A304="","",IF(F304=0,"",(E304*F304+I304)/F304))</f>
        <v/>
      </c>
      <c r="M304">
        <f>IF(A304="","",IF(K304&lt;=0,"Sold Out","Active"))</f>
        <v/>
      </c>
    </row>
    <row r="305">
      <c r="I305">
        <f>IF(A305="","",SUMIFS(Expenses!D:D,Expenses!B:B,A305))</f>
        <v/>
      </c>
      <c r="J305">
        <f>IF(A305="","",SUMIFS(Sales!F:F,Sales!E:E,A305))</f>
        <v/>
      </c>
      <c r="K305">
        <f>IF(A305="","",F305-J305)</f>
        <v/>
      </c>
      <c r="L305">
        <f>IF(A305="","",IF(F305=0,"",(E305*F305+I305)/F305))</f>
        <v/>
      </c>
      <c r="M305">
        <f>IF(A305="","",IF(K305&lt;=0,"Sold Out","Active"))</f>
        <v/>
      </c>
    </row>
    <row r="306">
      <c r="I306">
        <f>IF(A306="","",SUMIFS(Expenses!D:D,Expenses!B:B,A306))</f>
        <v/>
      </c>
      <c r="J306">
        <f>IF(A306="","",SUMIFS(Sales!F:F,Sales!E:E,A306))</f>
        <v/>
      </c>
      <c r="K306">
        <f>IF(A306="","",F306-J306)</f>
        <v/>
      </c>
      <c r="L306">
        <f>IF(A306="","",IF(F306=0,"",(E306*F306+I306)/F306))</f>
        <v/>
      </c>
      <c r="M306">
        <f>IF(A306="","",IF(K306&lt;=0,"Sold Out","Active"))</f>
        <v/>
      </c>
    </row>
    <row r="307">
      <c r="I307">
        <f>IF(A307="","",SUMIFS(Expenses!D:D,Expenses!B:B,A307))</f>
        <v/>
      </c>
      <c r="J307">
        <f>IF(A307="","",SUMIFS(Sales!F:F,Sales!E:E,A307))</f>
        <v/>
      </c>
      <c r="K307">
        <f>IF(A307="","",F307-J307)</f>
        <v/>
      </c>
      <c r="L307">
        <f>IF(A307="","",IF(F307=0,"",(E307*F307+I307)/F307))</f>
        <v/>
      </c>
      <c r="M307">
        <f>IF(A307="","",IF(K307&lt;=0,"Sold Out","Active"))</f>
        <v/>
      </c>
    </row>
    <row r="308">
      <c r="I308">
        <f>IF(A308="","",SUMIFS(Expenses!D:D,Expenses!B:B,A308))</f>
        <v/>
      </c>
      <c r="J308">
        <f>IF(A308="","",SUMIFS(Sales!F:F,Sales!E:E,A308))</f>
        <v/>
      </c>
      <c r="K308">
        <f>IF(A308="","",F308-J308)</f>
        <v/>
      </c>
      <c r="L308">
        <f>IF(A308="","",IF(F308=0,"",(E308*F308+I308)/F308))</f>
        <v/>
      </c>
      <c r="M308">
        <f>IF(A308="","",IF(K308&lt;=0,"Sold Out","Active"))</f>
        <v/>
      </c>
    </row>
    <row r="309">
      <c r="I309">
        <f>IF(A309="","",SUMIFS(Expenses!D:D,Expenses!B:B,A309))</f>
        <v/>
      </c>
      <c r="J309">
        <f>IF(A309="","",SUMIFS(Sales!F:F,Sales!E:E,A309))</f>
        <v/>
      </c>
      <c r="K309">
        <f>IF(A309="","",F309-J309)</f>
        <v/>
      </c>
      <c r="L309">
        <f>IF(A309="","",IF(F309=0,"",(E309*F309+I309)/F309))</f>
        <v/>
      </c>
      <c r="M309">
        <f>IF(A309="","",IF(K309&lt;=0,"Sold Out","Active"))</f>
        <v/>
      </c>
    </row>
    <row r="310">
      <c r="I310">
        <f>IF(A310="","",SUMIFS(Expenses!D:D,Expenses!B:B,A310))</f>
        <v/>
      </c>
      <c r="J310">
        <f>IF(A310="","",SUMIFS(Sales!F:F,Sales!E:E,A310))</f>
        <v/>
      </c>
      <c r="K310">
        <f>IF(A310="","",F310-J310)</f>
        <v/>
      </c>
      <c r="L310">
        <f>IF(A310="","",IF(F310=0,"",(E310*F310+I310)/F310))</f>
        <v/>
      </c>
      <c r="M310">
        <f>IF(A310="","",IF(K310&lt;=0,"Sold Out","Active"))</f>
        <v/>
      </c>
    </row>
    <row r="311">
      <c r="I311">
        <f>IF(A311="","",SUMIFS(Expenses!D:D,Expenses!B:B,A311))</f>
        <v/>
      </c>
      <c r="J311">
        <f>IF(A311="","",SUMIFS(Sales!F:F,Sales!E:E,A311))</f>
        <v/>
      </c>
      <c r="K311">
        <f>IF(A311="","",F311-J311)</f>
        <v/>
      </c>
      <c r="L311">
        <f>IF(A311="","",IF(F311=0,"",(E311*F311+I311)/F311))</f>
        <v/>
      </c>
      <c r="M311">
        <f>IF(A311="","",IF(K311&lt;=0,"Sold Out","Active"))</f>
        <v/>
      </c>
    </row>
    <row r="312">
      <c r="I312">
        <f>IF(A312="","",SUMIFS(Expenses!D:D,Expenses!B:B,A312))</f>
        <v/>
      </c>
      <c r="J312">
        <f>IF(A312="","",SUMIFS(Sales!F:F,Sales!E:E,A312))</f>
        <v/>
      </c>
      <c r="K312">
        <f>IF(A312="","",F312-J312)</f>
        <v/>
      </c>
      <c r="L312">
        <f>IF(A312="","",IF(F312=0,"",(E312*F312+I312)/F312))</f>
        <v/>
      </c>
      <c r="M312">
        <f>IF(A312="","",IF(K312&lt;=0,"Sold Out","Active"))</f>
        <v/>
      </c>
    </row>
    <row r="313">
      <c r="I313">
        <f>IF(A313="","",SUMIFS(Expenses!D:D,Expenses!B:B,A313))</f>
        <v/>
      </c>
      <c r="J313">
        <f>IF(A313="","",SUMIFS(Sales!F:F,Sales!E:E,A313))</f>
        <v/>
      </c>
      <c r="K313">
        <f>IF(A313="","",F313-J313)</f>
        <v/>
      </c>
      <c r="L313">
        <f>IF(A313="","",IF(F313=0,"",(E313*F313+I313)/F313))</f>
        <v/>
      </c>
      <c r="M313">
        <f>IF(A313="","",IF(K313&lt;=0,"Sold Out","Active"))</f>
        <v/>
      </c>
    </row>
    <row r="314">
      <c r="I314">
        <f>IF(A314="","",SUMIFS(Expenses!D:D,Expenses!B:B,A314))</f>
        <v/>
      </c>
      <c r="J314">
        <f>IF(A314="","",SUMIFS(Sales!F:F,Sales!E:E,A314))</f>
        <v/>
      </c>
      <c r="K314">
        <f>IF(A314="","",F314-J314)</f>
        <v/>
      </c>
      <c r="L314">
        <f>IF(A314="","",IF(F314=0,"",(E314*F314+I314)/F314))</f>
        <v/>
      </c>
      <c r="M314">
        <f>IF(A314="","",IF(K314&lt;=0,"Sold Out","Active"))</f>
        <v/>
      </c>
    </row>
    <row r="315">
      <c r="I315">
        <f>IF(A315="","",SUMIFS(Expenses!D:D,Expenses!B:B,A315))</f>
        <v/>
      </c>
      <c r="J315">
        <f>IF(A315="","",SUMIFS(Sales!F:F,Sales!E:E,A315))</f>
        <v/>
      </c>
      <c r="K315">
        <f>IF(A315="","",F315-J315)</f>
        <v/>
      </c>
      <c r="L315">
        <f>IF(A315="","",IF(F315=0,"",(E315*F315+I315)/F315))</f>
        <v/>
      </c>
      <c r="M315">
        <f>IF(A315="","",IF(K315&lt;=0,"Sold Out","Active"))</f>
        <v/>
      </c>
    </row>
    <row r="316">
      <c r="I316">
        <f>IF(A316="","",SUMIFS(Expenses!D:D,Expenses!B:B,A316))</f>
        <v/>
      </c>
      <c r="J316">
        <f>IF(A316="","",SUMIFS(Sales!F:F,Sales!E:E,A316))</f>
        <v/>
      </c>
      <c r="K316">
        <f>IF(A316="","",F316-J316)</f>
        <v/>
      </c>
      <c r="L316">
        <f>IF(A316="","",IF(F316=0,"",(E316*F316+I316)/F316))</f>
        <v/>
      </c>
      <c r="M316">
        <f>IF(A316="","",IF(K316&lt;=0,"Sold Out","Active"))</f>
        <v/>
      </c>
    </row>
    <row r="317">
      <c r="I317">
        <f>IF(A317="","",SUMIFS(Expenses!D:D,Expenses!B:B,A317))</f>
        <v/>
      </c>
      <c r="J317">
        <f>IF(A317="","",SUMIFS(Sales!F:F,Sales!E:E,A317))</f>
        <v/>
      </c>
      <c r="K317">
        <f>IF(A317="","",F317-J317)</f>
        <v/>
      </c>
      <c r="L317">
        <f>IF(A317="","",IF(F317=0,"",(E317*F317+I317)/F317))</f>
        <v/>
      </c>
      <c r="M317">
        <f>IF(A317="","",IF(K317&lt;=0,"Sold Out","Active"))</f>
        <v/>
      </c>
    </row>
    <row r="318">
      <c r="I318">
        <f>IF(A318="","",SUMIFS(Expenses!D:D,Expenses!B:B,A318))</f>
        <v/>
      </c>
      <c r="J318">
        <f>IF(A318="","",SUMIFS(Sales!F:F,Sales!E:E,A318))</f>
        <v/>
      </c>
      <c r="K318">
        <f>IF(A318="","",F318-J318)</f>
        <v/>
      </c>
      <c r="L318">
        <f>IF(A318="","",IF(F318=0,"",(E318*F318+I318)/F318))</f>
        <v/>
      </c>
      <c r="M318">
        <f>IF(A318="","",IF(K318&lt;=0,"Sold Out","Active"))</f>
        <v/>
      </c>
    </row>
    <row r="319">
      <c r="I319">
        <f>IF(A319="","",SUMIFS(Expenses!D:D,Expenses!B:B,A319))</f>
        <v/>
      </c>
      <c r="J319">
        <f>IF(A319="","",SUMIFS(Sales!F:F,Sales!E:E,A319))</f>
        <v/>
      </c>
      <c r="K319">
        <f>IF(A319="","",F319-J319)</f>
        <v/>
      </c>
      <c r="L319">
        <f>IF(A319="","",IF(F319=0,"",(E319*F319+I319)/F319))</f>
        <v/>
      </c>
      <c r="M319">
        <f>IF(A319="","",IF(K319&lt;=0,"Sold Out","Active"))</f>
        <v/>
      </c>
    </row>
    <row r="320">
      <c r="I320">
        <f>IF(A320="","",SUMIFS(Expenses!D:D,Expenses!B:B,A320))</f>
        <v/>
      </c>
      <c r="J320">
        <f>IF(A320="","",SUMIFS(Sales!F:F,Sales!E:E,A320))</f>
        <v/>
      </c>
      <c r="K320">
        <f>IF(A320="","",F320-J320)</f>
        <v/>
      </c>
      <c r="L320">
        <f>IF(A320="","",IF(F320=0,"",(E320*F320+I320)/F320))</f>
        <v/>
      </c>
      <c r="M320">
        <f>IF(A320="","",IF(K320&lt;=0,"Sold Out","Active"))</f>
        <v/>
      </c>
    </row>
    <row r="321">
      <c r="I321">
        <f>IF(A321="","",SUMIFS(Expenses!D:D,Expenses!B:B,A321))</f>
        <v/>
      </c>
      <c r="J321">
        <f>IF(A321="","",SUMIFS(Sales!F:F,Sales!E:E,A321))</f>
        <v/>
      </c>
      <c r="K321">
        <f>IF(A321="","",F321-J321)</f>
        <v/>
      </c>
      <c r="L321">
        <f>IF(A321="","",IF(F321=0,"",(E321*F321+I321)/F321))</f>
        <v/>
      </c>
      <c r="M321">
        <f>IF(A321="","",IF(K321&lt;=0,"Sold Out","Active"))</f>
        <v/>
      </c>
    </row>
    <row r="322">
      <c r="I322">
        <f>IF(A322="","",SUMIFS(Expenses!D:D,Expenses!B:B,A322))</f>
        <v/>
      </c>
      <c r="J322">
        <f>IF(A322="","",SUMIFS(Sales!F:F,Sales!E:E,A322))</f>
        <v/>
      </c>
      <c r="K322">
        <f>IF(A322="","",F322-J322)</f>
        <v/>
      </c>
      <c r="L322">
        <f>IF(A322="","",IF(F322=0,"",(E322*F322+I322)/F322))</f>
        <v/>
      </c>
      <c r="M322">
        <f>IF(A322="","",IF(K322&lt;=0,"Sold Out","Active"))</f>
        <v/>
      </c>
    </row>
    <row r="323">
      <c r="I323">
        <f>IF(A323="","",SUMIFS(Expenses!D:D,Expenses!B:B,A323))</f>
        <v/>
      </c>
      <c r="J323">
        <f>IF(A323="","",SUMIFS(Sales!F:F,Sales!E:E,A323))</f>
        <v/>
      </c>
      <c r="K323">
        <f>IF(A323="","",F323-J323)</f>
        <v/>
      </c>
      <c r="L323">
        <f>IF(A323="","",IF(F323=0,"",(E323*F323+I323)/F323))</f>
        <v/>
      </c>
      <c r="M323">
        <f>IF(A323="","",IF(K323&lt;=0,"Sold Out","Active"))</f>
        <v/>
      </c>
    </row>
    <row r="324">
      <c r="I324">
        <f>IF(A324="","",SUMIFS(Expenses!D:D,Expenses!B:B,A324))</f>
        <v/>
      </c>
      <c r="J324">
        <f>IF(A324="","",SUMIFS(Sales!F:F,Sales!E:E,A324))</f>
        <v/>
      </c>
      <c r="K324">
        <f>IF(A324="","",F324-J324)</f>
        <v/>
      </c>
      <c r="L324">
        <f>IF(A324="","",IF(F324=0,"",(E324*F324+I324)/F324))</f>
        <v/>
      </c>
      <c r="M324">
        <f>IF(A324="","",IF(K324&lt;=0,"Sold Out","Active"))</f>
        <v/>
      </c>
    </row>
    <row r="325">
      <c r="I325">
        <f>IF(A325="","",SUMIFS(Expenses!D:D,Expenses!B:B,A325))</f>
        <v/>
      </c>
      <c r="J325">
        <f>IF(A325="","",SUMIFS(Sales!F:F,Sales!E:E,A325))</f>
        <v/>
      </c>
      <c r="K325">
        <f>IF(A325="","",F325-J325)</f>
        <v/>
      </c>
      <c r="L325">
        <f>IF(A325="","",IF(F325=0,"",(E325*F325+I325)/F325))</f>
        <v/>
      </c>
      <c r="M325">
        <f>IF(A325="","",IF(K325&lt;=0,"Sold Out","Active"))</f>
        <v/>
      </c>
    </row>
    <row r="326">
      <c r="I326">
        <f>IF(A326="","",SUMIFS(Expenses!D:D,Expenses!B:B,A326))</f>
        <v/>
      </c>
      <c r="J326">
        <f>IF(A326="","",SUMIFS(Sales!F:F,Sales!E:E,A326))</f>
        <v/>
      </c>
      <c r="K326">
        <f>IF(A326="","",F326-J326)</f>
        <v/>
      </c>
      <c r="L326">
        <f>IF(A326="","",IF(F326=0,"",(E326*F326+I326)/F326))</f>
        <v/>
      </c>
      <c r="M326">
        <f>IF(A326="","",IF(K326&lt;=0,"Sold Out","Active"))</f>
        <v/>
      </c>
    </row>
    <row r="327">
      <c r="I327">
        <f>IF(A327="","",SUMIFS(Expenses!D:D,Expenses!B:B,A327))</f>
        <v/>
      </c>
      <c r="J327">
        <f>IF(A327="","",SUMIFS(Sales!F:F,Sales!E:E,A327))</f>
        <v/>
      </c>
      <c r="K327">
        <f>IF(A327="","",F327-J327)</f>
        <v/>
      </c>
      <c r="L327">
        <f>IF(A327="","",IF(F327=0,"",(E327*F327+I327)/F327))</f>
        <v/>
      </c>
      <c r="M327">
        <f>IF(A327="","",IF(K327&lt;=0,"Sold Out","Active"))</f>
        <v/>
      </c>
    </row>
    <row r="328">
      <c r="I328">
        <f>IF(A328="","",SUMIFS(Expenses!D:D,Expenses!B:B,A328))</f>
        <v/>
      </c>
      <c r="J328">
        <f>IF(A328="","",SUMIFS(Sales!F:F,Sales!E:E,A328))</f>
        <v/>
      </c>
      <c r="K328">
        <f>IF(A328="","",F328-J328)</f>
        <v/>
      </c>
      <c r="L328">
        <f>IF(A328="","",IF(F328=0,"",(E328*F328+I328)/F328))</f>
        <v/>
      </c>
      <c r="M328">
        <f>IF(A328="","",IF(K328&lt;=0,"Sold Out","Active"))</f>
        <v/>
      </c>
    </row>
    <row r="329">
      <c r="I329">
        <f>IF(A329="","",SUMIFS(Expenses!D:D,Expenses!B:B,A329))</f>
        <v/>
      </c>
      <c r="J329">
        <f>IF(A329="","",SUMIFS(Sales!F:F,Sales!E:E,A329))</f>
        <v/>
      </c>
      <c r="K329">
        <f>IF(A329="","",F329-J329)</f>
        <v/>
      </c>
      <c r="L329">
        <f>IF(A329="","",IF(F329=0,"",(E329*F329+I329)/F329))</f>
        <v/>
      </c>
      <c r="M329">
        <f>IF(A329="","",IF(K329&lt;=0,"Sold Out","Active"))</f>
        <v/>
      </c>
    </row>
    <row r="330">
      <c r="I330">
        <f>IF(A330="","",SUMIFS(Expenses!D:D,Expenses!B:B,A330))</f>
        <v/>
      </c>
      <c r="J330">
        <f>IF(A330="","",SUMIFS(Sales!F:F,Sales!E:E,A330))</f>
        <v/>
      </c>
      <c r="K330">
        <f>IF(A330="","",F330-J330)</f>
        <v/>
      </c>
      <c r="L330">
        <f>IF(A330="","",IF(F330=0,"",(E330*F330+I330)/F330))</f>
        <v/>
      </c>
      <c r="M330">
        <f>IF(A330="","",IF(K330&lt;=0,"Sold Out","Active"))</f>
        <v/>
      </c>
    </row>
    <row r="331">
      <c r="I331">
        <f>IF(A331="","",SUMIFS(Expenses!D:D,Expenses!B:B,A331))</f>
        <v/>
      </c>
      <c r="J331">
        <f>IF(A331="","",SUMIFS(Sales!F:F,Sales!E:E,A331))</f>
        <v/>
      </c>
      <c r="K331">
        <f>IF(A331="","",F331-J331)</f>
        <v/>
      </c>
      <c r="L331">
        <f>IF(A331="","",IF(F331=0,"",(E331*F331+I331)/F331))</f>
        <v/>
      </c>
      <c r="M331">
        <f>IF(A331="","",IF(K331&lt;=0,"Sold Out","Active"))</f>
        <v/>
      </c>
    </row>
    <row r="332">
      <c r="I332">
        <f>IF(A332="","",SUMIFS(Expenses!D:D,Expenses!B:B,A332))</f>
        <v/>
      </c>
      <c r="J332">
        <f>IF(A332="","",SUMIFS(Sales!F:F,Sales!E:E,A332))</f>
        <v/>
      </c>
      <c r="K332">
        <f>IF(A332="","",F332-J332)</f>
        <v/>
      </c>
      <c r="L332">
        <f>IF(A332="","",IF(F332=0,"",(E332*F332+I332)/F332))</f>
        <v/>
      </c>
      <c r="M332">
        <f>IF(A332="","",IF(K332&lt;=0,"Sold Out","Active"))</f>
        <v/>
      </c>
    </row>
    <row r="333">
      <c r="I333">
        <f>IF(A333="","",SUMIFS(Expenses!D:D,Expenses!B:B,A333))</f>
        <v/>
      </c>
      <c r="J333">
        <f>IF(A333="","",SUMIFS(Sales!F:F,Sales!E:E,A333))</f>
        <v/>
      </c>
      <c r="K333">
        <f>IF(A333="","",F333-J333)</f>
        <v/>
      </c>
      <c r="L333">
        <f>IF(A333="","",IF(F333=0,"",(E333*F333+I333)/F333))</f>
        <v/>
      </c>
      <c r="M333">
        <f>IF(A333="","",IF(K333&lt;=0,"Sold Out","Active"))</f>
        <v/>
      </c>
    </row>
    <row r="334">
      <c r="I334">
        <f>IF(A334="","",SUMIFS(Expenses!D:D,Expenses!B:B,A334))</f>
        <v/>
      </c>
      <c r="J334">
        <f>IF(A334="","",SUMIFS(Sales!F:F,Sales!E:E,A334))</f>
        <v/>
      </c>
      <c r="K334">
        <f>IF(A334="","",F334-J334)</f>
        <v/>
      </c>
      <c r="L334">
        <f>IF(A334="","",IF(F334=0,"",(E334*F334+I334)/F334))</f>
        <v/>
      </c>
      <c r="M334">
        <f>IF(A334="","",IF(K334&lt;=0,"Sold Out","Active"))</f>
        <v/>
      </c>
    </row>
    <row r="335">
      <c r="I335">
        <f>IF(A335="","",SUMIFS(Expenses!D:D,Expenses!B:B,A335))</f>
        <v/>
      </c>
      <c r="J335">
        <f>IF(A335="","",SUMIFS(Sales!F:F,Sales!E:E,A335))</f>
        <v/>
      </c>
      <c r="K335">
        <f>IF(A335="","",F335-J335)</f>
        <v/>
      </c>
      <c r="L335">
        <f>IF(A335="","",IF(F335=0,"",(E335*F335+I335)/F335))</f>
        <v/>
      </c>
      <c r="M335">
        <f>IF(A335="","",IF(K335&lt;=0,"Sold Out","Active"))</f>
        <v/>
      </c>
    </row>
    <row r="336">
      <c r="I336">
        <f>IF(A336="","",SUMIFS(Expenses!D:D,Expenses!B:B,A336))</f>
        <v/>
      </c>
      <c r="J336">
        <f>IF(A336="","",SUMIFS(Sales!F:F,Sales!E:E,A336))</f>
        <v/>
      </c>
      <c r="K336">
        <f>IF(A336="","",F336-J336)</f>
        <v/>
      </c>
      <c r="L336">
        <f>IF(A336="","",IF(F336=0,"",(E336*F336+I336)/F336))</f>
        <v/>
      </c>
      <c r="M336">
        <f>IF(A336="","",IF(K336&lt;=0,"Sold Out","Active"))</f>
        <v/>
      </c>
    </row>
    <row r="337">
      <c r="I337">
        <f>IF(A337="","",SUMIFS(Expenses!D:D,Expenses!B:B,A337))</f>
        <v/>
      </c>
      <c r="J337">
        <f>IF(A337="","",SUMIFS(Sales!F:F,Sales!E:E,A337))</f>
        <v/>
      </c>
      <c r="K337">
        <f>IF(A337="","",F337-J337)</f>
        <v/>
      </c>
      <c r="L337">
        <f>IF(A337="","",IF(F337=0,"",(E337*F337+I337)/F337))</f>
        <v/>
      </c>
      <c r="M337">
        <f>IF(A337="","",IF(K337&lt;=0,"Sold Out","Active"))</f>
        <v/>
      </c>
    </row>
    <row r="338">
      <c r="I338">
        <f>IF(A338="","",SUMIFS(Expenses!D:D,Expenses!B:B,A338))</f>
        <v/>
      </c>
      <c r="J338">
        <f>IF(A338="","",SUMIFS(Sales!F:F,Sales!E:E,A338))</f>
        <v/>
      </c>
      <c r="K338">
        <f>IF(A338="","",F338-J338)</f>
        <v/>
      </c>
      <c r="L338">
        <f>IF(A338="","",IF(F338=0,"",(E338*F338+I338)/F338))</f>
        <v/>
      </c>
      <c r="M338">
        <f>IF(A338="","",IF(K338&lt;=0,"Sold Out","Active"))</f>
        <v/>
      </c>
    </row>
    <row r="339">
      <c r="I339">
        <f>IF(A339="","",SUMIFS(Expenses!D:D,Expenses!B:B,A339))</f>
        <v/>
      </c>
      <c r="J339">
        <f>IF(A339="","",SUMIFS(Sales!F:F,Sales!E:E,A339))</f>
        <v/>
      </c>
      <c r="K339">
        <f>IF(A339="","",F339-J339)</f>
        <v/>
      </c>
      <c r="L339">
        <f>IF(A339="","",IF(F339=0,"",(E339*F339+I339)/F339))</f>
        <v/>
      </c>
      <c r="M339">
        <f>IF(A339="","",IF(K339&lt;=0,"Sold Out","Active"))</f>
        <v/>
      </c>
    </row>
    <row r="340">
      <c r="I340">
        <f>IF(A340="","",SUMIFS(Expenses!D:D,Expenses!B:B,A340))</f>
        <v/>
      </c>
      <c r="J340">
        <f>IF(A340="","",SUMIFS(Sales!F:F,Sales!E:E,A340))</f>
        <v/>
      </c>
      <c r="K340">
        <f>IF(A340="","",F340-J340)</f>
        <v/>
      </c>
      <c r="L340">
        <f>IF(A340="","",IF(F340=0,"",(E340*F340+I340)/F340))</f>
        <v/>
      </c>
      <c r="M340">
        <f>IF(A340="","",IF(K340&lt;=0,"Sold Out","Active"))</f>
        <v/>
      </c>
    </row>
    <row r="341">
      <c r="I341">
        <f>IF(A341="","",SUMIFS(Expenses!D:D,Expenses!B:B,A341))</f>
        <v/>
      </c>
      <c r="J341">
        <f>IF(A341="","",SUMIFS(Sales!F:F,Sales!E:E,A341))</f>
        <v/>
      </c>
      <c r="K341">
        <f>IF(A341="","",F341-J341)</f>
        <v/>
      </c>
      <c r="L341">
        <f>IF(A341="","",IF(F341=0,"",(E341*F341+I341)/F341))</f>
        <v/>
      </c>
      <c r="M341">
        <f>IF(A341="","",IF(K341&lt;=0,"Sold Out","Active"))</f>
        <v/>
      </c>
    </row>
    <row r="342">
      <c r="I342">
        <f>IF(A342="","",SUMIFS(Expenses!D:D,Expenses!B:B,A342))</f>
        <v/>
      </c>
      <c r="J342">
        <f>IF(A342="","",SUMIFS(Sales!F:F,Sales!E:E,A342))</f>
        <v/>
      </c>
      <c r="K342">
        <f>IF(A342="","",F342-J342)</f>
        <v/>
      </c>
      <c r="L342">
        <f>IF(A342="","",IF(F342=0,"",(E342*F342+I342)/F342))</f>
        <v/>
      </c>
      <c r="M342">
        <f>IF(A342="","",IF(K342&lt;=0,"Sold Out","Active"))</f>
        <v/>
      </c>
    </row>
    <row r="343">
      <c r="I343">
        <f>IF(A343="","",SUMIFS(Expenses!D:D,Expenses!B:B,A343))</f>
        <v/>
      </c>
      <c r="J343">
        <f>IF(A343="","",SUMIFS(Sales!F:F,Sales!E:E,A343))</f>
        <v/>
      </c>
      <c r="K343">
        <f>IF(A343="","",F343-J343)</f>
        <v/>
      </c>
      <c r="L343">
        <f>IF(A343="","",IF(F343=0,"",(E343*F343+I343)/F343))</f>
        <v/>
      </c>
      <c r="M343">
        <f>IF(A343="","",IF(K343&lt;=0,"Sold Out","Active"))</f>
        <v/>
      </c>
    </row>
    <row r="344">
      <c r="I344">
        <f>IF(A344="","",SUMIFS(Expenses!D:D,Expenses!B:B,A344))</f>
        <v/>
      </c>
      <c r="J344">
        <f>IF(A344="","",SUMIFS(Sales!F:F,Sales!E:E,A344))</f>
        <v/>
      </c>
      <c r="K344">
        <f>IF(A344="","",F344-J344)</f>
        <v/>
      </c>
      <c r="L344">
        <f>IF(A344="","",IF(F344=0,"",(E344*F344+I344)/F344))</f>
        <v/>
      </c>
      <c r="M344">
        <f>IF(A344="","",IF(K344&lt;=0,"Sold Out","Active"))</f>
        <v/>
      </c>
    </row>
    <row r="345">
      <c r="I345">
        <f>IF(A345="","",SUMIFS(Expenses!D:D,Expenses!B:B,A345))</f>
        <v/>
      </c>
      <c r="J345">
        <f>IF(A345="","",SUMIFS(Sales!F:F,Sales!E:E,A345))</f>
        <v/>
      </c>
      <c r="K345">
        <f>IF(A345="","",F345-J345)</f>
        <v/>
      </c>
      <c r="L345">
        <f>IF(A345="","",IF(F345=0,"",(E345*F345+I345)/F345))</f>
        <v/>
      </c>
      <c r="M345">
        <f>IF(A345="","",IF(K345&lt;=0,"Sold Out","Active"))</f>
        <v/>
      </c>
    </row>
    <row r="346">
      <c r="I346">
        <f>IF(A346="","",SUMIFS(Expenses!D:D,Expenses!B:B,A346))</f>
        <v/>
      </c>
      <c r="J346">
        <f>IF(A346="","",SUMIFS(Sales!F:F,Sales!E:E,A346))</f>
        <v/>
      </c>
      <c r="K346">
        <f>IF(A346="","",F346-J346)</f>
        <v/>
      </c>
      <c r="L346">
        <f>IF(A346="","",IF(F346=0,"",(E346*F346+I346)/F346))</f>
        <v/>
      </c>
      <c r="M346">
        <f>IF(A346="","",IF(K346&lt;=0,"Sold Out","Active"))</f>
        <v/>
      </c>
    </row>
    <row r="347">
      <c r="I347">
        <f>IF(A347="","",SUMIFS(Expenses!D:D,Expenses!B:B,A347))</f>
        <v/>
      </c>
      <c r="J347">
        <f>IF(A347="","",SUMIFS(Sales!F:F,Sales!E:E,A347))</f>
        <v/>
      </c>
      <c r="K347">
        <f>IF(A347="","",F347-J347)</f>
        <v/>
      </c>
      <c r="L347">
        <f>IF(A347="","",IF(F347=0,"",(E347*F347+I347)/F347))</f>
        <v/>
      </c>
      <c r="M347">
        <f>IF(A347="","",IF(K347&lt;=0,"Sold Out","Active"))</f>
        <v/>
      </c>
    </row>
    <row r="348">
      <c r="I348">
        <f>IF(A348="","",SUMIFS(Expenses!D:D,Expenses!B:B,A348))</f>
        <v/>
      </c>
      <c r="J348">
        <f>IF(A348="","",SUMIFS(Sales!F:F,Sales!E:E,A348))</f>
        <v/>
      </c>
      <c r="K348">
        <f>IF(A348="","",F348-J348)</f>
        <v/>
      </c>
      <c r="L348">
        <f>IF(A348="","",IF(F348=0,"",(E348*F348+I348)/F348))</f>
        <v/>
      </c>
      <c r="M348">
        <f>IF(A348="","",IF(K348&lt;=0,"Sold Out","Active"))</f>
        <v/>
      </c>
    </row>
    <row r="349">
      <c r="I349">
        <f>IF(A349="","",SUMIFS(Expenses!D:D,Expenses!B:B,A349))</f>
        <v/>
      </c>
      <c r="J349">
        <f>IF(A349="","",SUMIFS(Sales!F:F,Sales!E:E,A349))</f>
        <v/>
      </c>
      <c r="K349">
        <f>IF(A349="","",F349-J349)</f>
        <v/>
      </c>
      <c r="L349">
        <f>IF(A349="","",IF(F349=0,"",(E349*F349+I349)/F349))</f>
        <v/>
      </c>
      <c r="M349">
        <f>IF(A349="","",IF(K349&lt;=0,"Sold Out","Active"))</f>
        <v/>
      </c>
    </row>
    <row r="350">
      <c r="I350">
        <f>IF(A350="","",SUMIFS(Expenses!D:D,Expenses!B:B,A350))</f>
        <v/>
      </c>
      <c r="J350">
        <f>IF(A350="","",SUMIFS(Sales!F:F,Sales!E:E,A350))</f>
        <v/>
      </c>
      <c r="K350">
        <f>IF(A350="","",F350-J350)</f>
        <v/>
      </c>
      <c r="L350">
        <f>IF(A350="","",IF(F350=0,"",(E350*F350+I350)/F350))</f>
        <v/>
      </c>
      <c r="M350">
        <f>IF(A350="","",IF(K350&lt;=0,"Sold Out","Active"))</f>
        <v/>
      </c>
    </row>
    <row r="351">
      <c r="I351">
        <f>IF(A351="","",SUMIFS(Expenses!D:D,Expenses!B:B,A351))</f>
        <v/>
      </c>
      <c r="J351">
        <f>IF(A351="","",SUMIFS(Sales!F:F,Sales!E:E,A351))</f>
        <v/>
      </c>
      <c r="K351">
        <f>IF(A351="","",F351-J351)</f>
        <v/>
      </c>
      <c r="L351">
        <f>IF(A351="","",IF(F351=0,"",(E351*F351+I351)/F351))</f>
        <v/>
      </c>
      <c r="M351">
        <f>IF(A351="","",IF(K351&lt;=0,"Sold Out","Active"))</f>
        <v/>
      </c>
    </row>
    <row r="352">
      <c r="I352">
        <f>IF(A352="","",SUMIFS(Expenses!D:D,Expenses!B:B,A352))</f>
        <v/>
      </c>
      <c r="J352">
        <f>IF(A352="","",SUMIFS(Sales!F:F,Sales!E:E,A352))</f>
        <v/>
      </c>
      <c r="K352">
        <f>IF(A352="","",F352-J352)</f>
        <v/>
      </c>
      <c r="L352">
        <f>IF(A352="","",IF(F352=0,"",(E352*F352+I352)/F352))</f>
        <v/>
      </c>
      <c r="M352">
        <f>IF(A352="","",IF(K352&lt;=0,"Sold Out","Active"))</f>
        <v/>
      </c>
    </row>
    <row r="353">
      <c r="I353">
        <f>IF(A353="","",SUMIFS(Expenses!D:D,Expenses!B:B,A353))</f>
        <v/>
      </c>
      <c r="J353">
        <f>IF(A353="","",SUMIFS(Sales!F:F,Sales!E:E,A353))</f>
        <v/>
      </c>
      <c r="K353">
        <f>IF(A353="","",F353-J353)</f>
        <v/>
      </c>
      <c r="L353">
        <f>IF(A353="","",IF(F353=0,"",(E353*F353+I353)/F353))</f>
        <v/>
      </c>
      <c r="M353">
        <f>IF(A353="","",IF(K353&lt;=0,"Sold Out","Active"))</f>
        <v/>
      </c>
    </row>
    <row r="354">
      <c r="I354">
        <f>IF(A354="","",SUMIFS(Expenses!D:D,Expenses!B:B,A354))</f>
        <v/>
      </c>
      <c r="J354">
        <f>IF(A354="","",SUMIFS(Sales!F:F,Sales!E:E,A354))</f>
        <v/>
      </c>
      <c r="K354">
        <f>IF(A354="","",F354-J354)</f>
        <v/>
      </c>
      <c r="L354">
        <f>IF(A354="","",IF(F354=0,"",(E354*F354+I354)/F354))</f>
        <v/>
      </c>
      <c r="M354">
        <f>IF(A354="","",IF(K354&lt;=0,"Sold Out","Active"))</f>
        <v/>
      </c>
    </row>
    <row r="355">
      <c r="I355">
        <f>IF(A355="","",SUMIFS(Expenses!D:D,Expenses!B:B,A355))</f>
        <v/>
      </c>
      <c r="J355">
        <f>IF(A355="","",SUMIFS(Sales!F:F,Sales!E:E,A355))</f>
        <v/>
      </c>
      <c r="K355">
        <f>IF(A355="","",F355-J355)</f>
        <v/>
      </c>
      <c r="L355">
        <f>IF(A355="","",IF(F355=0,"",(E355*F355+I355)/F355))</f>
        <v/>
      </c>
      <c r="M355">
        <f>IF(A355="","",IF(K355&lt;=0,"Sold Out","Active"))</f>
        <v/>
      </c>
    </row>
    <row r="356">
      <c r="I356">
        <f>IF(A356="","",SUMIFS(Expenses!D:D,Expenses!B:B,A356))</f>
        <v/>
      </c>
      <c r="J356">
        <f>IF(A356="","",SUMIFS(Sales!F:F,Sales!E:E,A356))</f>
        <v/>
      </c>
      <c r="K356">
        <f>IF(A356="","",F356-J356)</f>
        <v/>
      </c>
      <c r="L356">
        <f>IF(A356="","",IF(F356=0,"",(E356*F356+I356)/F356))</f>
        <v/>
      </c>
      <c r="M356">
        <f>IF(A356="","",IF(K356&lt;=0,"Sold Out","Active"))</f>
        <v/>
      </c>
    </row>
    <row r="357">
      <c r="I357">
        <f>IF(A357="","",SUMIFS(Expenses!D:D,Expenses!B:B,A357))</f>
        <v/>
      </c>
      <c r="J357">
        <f>IF(A357="","",SUMIFS(Sales!F:F,Sales!E:E,A357))</f>
        <v/>
      </c>
      <c r="K357">
        <f>IF(A357="","",F357-J357)</f>
        <v/>
      </c>
      <c r="L357">
        <f>IF(A357="","",IF(F357=0,"",(E357*F357+I357)/F357))</f>
        <v/>
      </c>
      <c r="M357">
        <f>IF(A357="","",IF(K357&lt;=0,"Sold Out","Active"))</f>
        <v/>
      </c>
    </row>
    <row r="358">
      <c r="I358">
        <f>IF(A358="","",SUMIFS(Expenses!D:D,Expenses!B:B,A358))</f>
        <v/>
      </c>
      <c r="J358">
        <f>IF(A358="","",SUMIFS(Sales!F:F,Sales!E:E,A358))</f>
        <v/>
      </c>
      <c r="K358">
        <f>IF(A358="","",F358-J358)</f>
        <v/>
      </c>
      <c r="L358">
        <f>IF(A358="","",IF(F358=0,"",(E358*F358+I358)/F358))</f>
        <v/>
      </c>
      <c r="M358">
        <f>IF(A358="","",IF(K358&lt;=0,"Sold Out","Active"))</f>
        <v/>
      </c>
    </row>
    <row r="359">
      <c r="I359">
        <f>IF(A359="","",SUMIFS(Expenses!D:D,Expenses!B:B,A359))</f>
        <v/>
      </c>
      <c r="J359">
        <f>IF(A359="","",SUMIFS(Sales!F:F,Sales!E:E,A359))</f>
        <v/>
      </c>
      <c r="K359">
        <f>IF(A359="","",F359-J359)</f>
        <v/>
      </c>
      <c r="L359">
        <f>IF(A359="","",IF(F359=0,"",(E359*F359+I359)/F359))</f>
        <v/>
      </c>
      <c r="M359">
        <f>IF(A359="","",IF(K359&lt;=0,"Sold Out","Active"))</f>
        <v/>
      </c>
    </row>
    <row r="360">
      <c r="I360">
        <f>IF(A360="","",SUMIFS(Expenses!D:D,Expenses!B:B,A360))</f>
        <v/>
      </c>
      <c r="J360">
        <f>IF(A360="","",SUMIFS(Sales!F:F,Sales!E:E,A360))</f>
        <v/>
      </c>
      <c r="K360">
        <f>IF(A360="","",F360-J360)</f>
        <v/>
      </c>
      <c r="L360">
        <f>IF(A360="","",IF(F360=0,"",(E360*F360+I360)/F360))</f>
        <v/>
      </c>
      <c r="M360">
        <f>IF(A360="","",IF(K360&lt;=0,"Sold Out","Active"))</f>
        <v/>
      </c>
    </row>
    <row r="361">
      <c r="I361">
        <f>IF(A361="","",SUMIFS(Expenses!D:D,Expenses!B:B,A361))</f>
        <v/>
      </c>
      <c r="J361">
        <f>IF(A361="","",SUMIFS(Sales!F:F,Sales!E:E,A361))</f>
        <v/>
      </c>
      <c r="K361">
        <f>IF(A361="","",F361-J361)</f>
        <v/>
      </c>
      <c r="L361">
        <f>IF(A361="","",IF(F361=0,"",(E361*F361+I361)/F361))</f>
        <v/>
      </c>
      <c r="M361">
        <f>IF(A361="","",IF(K361&lt;=0,"Sold Out","Active"))</f>
        <v/>
      </c>
    </row>
    <row r="362">
      <c r="I362">
        <f>IF(A362="","",SUMIFS(Expenses!D:D,Expenses!B:B,A362))</f>
        <v/>
      </c>
      <c r="J362">
        <f>IF(A362="","",SUMIFS(Sales!F:F,Sales!E:E,A362))</f>
        <v/>
      </c>
      <c r="K362">
        <f>IF(A362="","",F362-J362)</f>
        <v/>
      </c>
      <c r="L362">
        <f>IF(A362="","",IF(F362=0,"",(E362*F362+I362)/F362))</f>
        <v/>
      </c>
      <c r="M362">
        <f>IF(A362="","",IF(K362&lt;=0,"Sold Out","Active"))</f>
        <v/>
      </c>
    </row>
    <row r="363">
      <c r="I363">
        <f>IF(A363="","",SUMIFS(Expenses!D:D,Expenses!B:B,A363))</f>
        <v/>
      </c>
      <c r="J363">
        <f>IF(A363="","",SUMIFS(Sales!F:F,Sales!E:E,A363))</f>
        <v/>
      </c>
      <c r="K363">
        <f>IF(A363="","",F363-J363)</f>
        <v/>
      </c>
      <c r="L363">
        <f>IF(A363="","",IF(F363=0,"",(E363*F363+I363)/F363))</f>
        <v/>
      </c>
      <c r="M363">
        <f>IF(A363="","",IF(K363&lt;=0,"Sold Out","Active"))</f>
        <v/>
      </c>
    </row>
    <row r="364">
      <c r="I364">
        <f>IF(A364="","",SUMIFS(Expenses!D:D,Expenses!B:B,A364))</f>
        <v/>
      </c>
      <c r="J364">
        <f>IF(A364="","",SUMIFS(Sales!F:F,Sales!E:E,A364))</f>
        <v/>
      </c>
      <c r="K364">
        <f>IF(A364="","",F364-J364)</f>
        <v/>
      </c>
      <c r="L364">
        <f>IF(A364="","",IF(F364=0,"",(E364*F364+I364)/F364))</f>
        <v/>
      </c>
      <c r="M364">
        <f>IF(A364="","",IF(K364&lt;=0,"Sold Out","Active"))</f>
        <v/>
      </c>
    </row>
    <row r="365">
      <c r="I365">
        <f>IF(A365="","",SUMIFS(Expenses!D:D,Expenses!B:B,A365))</f>
        <v/>
      </c>
      <c r="J365">
        <f>IF(A365="","",SUMIFS(Sales!F:F,Sales!E:E,A365))</f>
        <v/>
      </c>
      <c r="K365">
        <f>IF(A365="","",F365-J365)</f>
        <v/>
      </c>
      <c r="L365">
        <f>IF(A365="","",IF(F365=0,"",(E365*F365+I365)/F365))</f>
        <v/>
      </c>
      <c r="M365">
        <f>IF(A365="","",IF(K365&lt;=0,"Sold Out","Active"))</f>
        <v/>
      </c>
    </row>
    <row r="366">
      <c r="I366">
        <f>IF(A366="","",SUMIFS(Expenses!D:D,Expenses!B:B,A366))</f>
        <v/>
      </c>
      <c r="J366">
        <f>IF(A366="","",SUMIFS(Sales!F:F,Sales!E:E,A366))</f>
        <v/>
      </c>
      <c r="K366">
        <f>IF(A366="","",F366-J366)</f>
        <v/>
      </c>
      <c r="L366">
        <f>IF(A366="","",IF(F366=0,"",(E366*F366+I366)/F366))</f>
        <v/>
      </c>
      <c r="M366">
        <f>IF(A366="","",IF(K366&lt;=0,"Sold Out","Active"))</f>
        <v/>
      </c>
    </row>
    <row r="367">
      <c r="I367">
        <f>IF(A367="","",SUMIFS(Expenses!D:D,Expenses!B:B,A367))</f>
        <v/>
      </c>
      <c r="J367">
        <f>IF(A367="","",SUMIFS(Sales!F:F,Sales!E:E,A367))</f>
        <v/>
      </c>
      <c r="K367">
        <f>IF(A367="","",F367-J367)</f>
        <v/>
      </c>
      <c r="L367">
        <f>IF(A367="","",IF(F367=0,"",(E367*F367+I367)/F367))</f>
        <v/>
      </c>
      <c r="M367">
        <f>IF(A367="","",IF(K367&lt;=0,"Sold Out","Active"))</f>
        <v/>
      </c>
    </row>
    <row r="368">
      <c r="I368">
        <f>IF(A368="","",SUMIFS(Expenses!D:D,Expenses!B:B,A368))</f>
        <v/>
      </c>
      <c r="J368">
        <f>IF(A368="","",SUMIFS(Sales!F:F,Sales!E:E,A368))</f>
        <v/>
      </c>
      <c r="K368">
        <f>IF(A368="","",F368-J368)</f>
        <v/>
      </c>
      <c r="L368">
        <f>IF(A368="","",IF(F368=0,"",(E368*F368+I368)/F368))</f>
        <v/>
      </c>
      <c r="M368">
        <f>IF(A368="","",IF(K368&lt;=0,"Sold Out","Active"))</f>
        <v/>
      </c>
    </row>
    <row r="369">
      <c r="I369">
        <f>IF(A369="","",SUMIFS(Expenses!D:D,Expenses!B:B,A369))</f>
        <v/>
      </c>
      <c r="J369">
        <f>IF(A369="","",SUMIFS(Sales!F:F,Sales!E:E,A369))</f>
        <v/>
      </c>
      <c r="K369">
        <f>IF(A369="","",F369-J369)</f>
        <v/>
      </c>
      <c r="L369">
        <f>IF(A369="","",IF(F369=0,"",(E369*F369+I369)/F369))</f>
        <v/>
      </c>
      <c r="M369">
        <f>IF(A369="","",IF(K369&lt;=0,"Sold Out","Active"))</f>
        <v/>
      </c>
    </row>
    <row r="370">
      <c r="I370">
        <f>IF(A370="","",SUMIFS(Expenses!D:D,Expenses!B:B,A370))</f>
        <v/>
      </c>
      <c r="J370">
        <f>IF(A370="","",SUMIFS(Sales!F:F,Sales!E:E,A370))</f>
        <v/>
      </c>
      <c r="K370">
        <f>IF(A370="","",F370-J370)</f>
        <v/>
      </c>
      <c r="L370">
        <f>IF(A370="","",IF(F370=0,"",(E370*F370+I370)/F370))</f>
        <v/>
      </c>
      <c r="M370">
        <f>IF(A370="","",IF(K370&lt;=0,"Sold Out","Active"))</f>
        <v/>
      </c>
    </row>
    <row r="371">
      <c r="I371">
        <f>IF(A371="","",SUMIFS(Expenses!D:D,Expenses!B:B,A371))</f>
        <v/>
      </c>
      <c r="J371">
        <f>IF(A371="","",SUMIFS(Sales!F:F,Sales!E:E,A371))</f>
        <v/>
      </c>
      <c r="K371">
        <f>IF(A371="","",F371-J371)</f>
        <v/>
      </c>
      <c r="L371">
        <f>IF(A371="","",IF(F371=0,"",(E371*F371+I371)/F371))</f>
        <v/>
      </c>
      <c r="M371">
        <f>IF(A371="","",IF(K371&lt;=0,"Sold Out","Active"))</f>
        <v/>
      </c>
    </row>
    <row r="372">
      <c r="I372">
        <f>IF(A372="","",SUMIFS(Expenses!D:D,Expenses!B:B,A372))</f>
        <v/>
      </c>
      <c r="J372">
        <f>IF(A372="","",SUMIFS(Sales!F:F,Sales!E:E,A372))</f>
        <v/>
      </c>
      <c r="K372">
        <f>IF(A372="","",F372-J372)</f>
        <v/>
      </c>
      <c r="L372">
        <f>IF(A372="","",IF(F372=0,"",(E372*F372+I372)/F372))</f>
        <v/>
      </c>
      <c r="M372">
        <f>IF(A372="","",IF(K372&lt;=0,"Sold Out","Active"))</f>
        <v/>
      </c>
    </row>
    <row r="373">
      <c r="I373">
        <f>IF(A373="","",SUMIFS(Expenses!D:D,Expenses!B:B,A373))</f>
        <v/>
      </c>
      <c r="J373">
        <f>IF(A373="","",SUMIFS(Sales!F:F,Sales!E:E,A373))</f>
        <v/>
      </c>
      <c r="K373">
        <f>IF(A373="","",F373-J373)</f>
        <v/>
      </c>
      <c r="L373">
        <f>IF(A373="","",IF(F373=0,"",(E373*F373+I373)/F373))</f>
        <v/>
      </c>
      <c r="M373">
        <f>IF(A373="","",IF(K373&lt;=0,"Sold Out","Active"))</f>
        <v/>
      </c>
    </row>
    <row r="374">
      <c r="I374">
        <f>IF(A374="","",SUMIFS(Expenses!D:D,Expenses!B:B,A374))</f>
        <v/>
      </c>
      <c r="J374">
        <f>IF(A374="","",SUMIFS(Sales!F:F,Sales!E:E,A374))</f>
        <v/>
      </c>
      <c r="K374">
        <f>IF(A374="","",F374-J374)</f>
        <v/>
      </c>
      <c r="L374">
        <f>IF(A374="","",IF(F374=0,"",(E374*F374+I374)/F374))</f>
        <v/>
      </c>
      <c r="M374">
        <f>IF(A374="","",IF(K374&lt;=0,"Sold Out","Active"))</f>
        <v/>
      </c>
    </row>
    <row r="375">
      <c r="I375">
        <f>IF(A375="","",SUMIFS(Expenses!D:D,Expenses!B:B,A375))</f>
        <v/>
      </c>
      <c r="J375">
        <f>IF(A375="","",SUMIFS(Sales!F:F,Sales!E:E,A375))</f>
        <v/>
      </c>
      <c r="K375">
        <f>IF(A375="","",F375-J375)</f>
        <v/>
      </c>
      <c r="L375">
        <f>IF(A375="","",IF(F375=0,"",(E375*F375+I375)/F375))</f>
        <v/>
      </c>
      <c r="M375">
        <f>IF(A375="","",IF(K375&lt;=0,"Sold Out","Active"))</f>
        <v/>
      </c>
    </row>
    <row r="376">
      <c r="I376">
        <f>IF(A376="","",SUMIFS(Expenses!D:D,Expenses!B:B,A376))</f>
        <v/>
      </c>
      <c r="J376">
        <f>IF(A376="","",SUMIFS(Sales!F:F,Sales!E:E,A376))</f>
        <v/>
      </c>
      <c r="K376">
        <f>IF(A376="","",F376-J376)</f>
        <v/>
      </c>
      <c r="L376">
        <f>IF(A376="","",IF(F376=0,"",(E376*F376+I376)/F376))</f>
        <v/>
      </c>
      <c r="M376">
        <f>IF(A376="","",IF(K376&lt;=0,"Sold Out","Active"))</f>
        <v/>
      </c>
    </row>
    <row r="377">
      <c r="I377">
        <f>IF(A377="","",SUMIFS(Expenses!D:D,Expenses!B:B,A377))</f>
        <v/>
      </c>
      <c r="J377">
        <f>IF(A377="","",SUMIFS(Sales!F:F,Sales!E:E,A377))</f>
        <v/>
      </c>
      <c r="K377">
        <f>IF(A377="","",F377-J377)</f>
        <v/>
      </c>
      <c r="L377">
        <f>IF(A377="","",IF(F377=0,"",(E377*F377+I377)/F377))</f>
        <v/>
      </c>
      <c r="M377">
        <f>IF(A377="","",IF(K377&lt;=0,"Sold Out","Active"))</f>
        <v/>
      </c>
    </row>
    <row r="378">
      <c r="I378">
        <f>IF(A378="","",SUMIFS(Expenses!D:D,Expenses!B:B,A378))</f>
        <v/>
      </c>
      <c r="J378">
        <f>IF(A378="","",SUMIFS(Sales!F:F,Sales!E:E,A378))</f>
        <v/>
      </c>
      <c r="K378">
        <f>IF(A378="","",F378-J378)</f>
        <v/>
      </c>
      <c r="L378">
        <f>IF(A378="","",IF(F378=0,"",(E378*F378+I378)/F378))</f>
        <v/>
      </c>
      <c r="M378">
        <f>IF(A378="","",IF(K378&lt;=0,"Sold Out","Active"))</f>
        <v/>
      </c>
    </row>
    <row r="379">
      <c r="I379">
        <f>IF(A379="","",SUMIFS(Expenses!D:D,Expenses!B:B,A379))</f>
        <v/>
      </c>
      <c r="J379">
        <f>IF(A379="","",SUMIFS(Sales!F:F,Sales!E:E,A379))</f>
        <v/>
      </c>
      <c r="K379">
        <f>IF(A379="","",F379-J379)</f>
        <v/>
      </c>
      <c r="L379">
        <f>IF(A379="","",IF(F379=0,"",(E379*F379+I379)/F379))</f>
        <v/>
      </c>
      <c r="M379">
        <f>IF(A379="","",IF(K379&lt;=0,"Sold Out","Active"))</f>
        <v/>
      </c>
    </row>
    <row r="380">
      <c r="I380">
        <f>IF(A380="","",SUMIFS(Expenses!D:D,Expenses!B:B,A380))</f>
        <v/>
      </c>
      <c r="J380">
        <f>IF(A380="","",SUMIFS(Sales!F:F,Sales!E:E,A380))</f>
        <v/>
      </c>
      <c r="K380">
        <f>IF(A380="","",F380-J380)</f>
        <v/>
      </c>
      <c r="L380">
        <f>IF(A380="","",IF(F380=0,"",(E380*F380+I380)/F380))</f>
        <v/>
      </c>
      <c r="M380">
        <f>IF(A380="","",IF(K380&lt;=0,"Sold Out","Active"))</f>
        <v/>
      </c>
    </row>
    <row r="381">
      <c r="I381">
        <f>IF(A381="","",SUMIFS(Expenses!D:D,Expenses!B:B,A381))</f>
        <v/>
      </c>
      <c r="J381">
        <f>IF(A381="","",SUMIFS(Sales!F:F,Sales!E:E,A381))</f>
        <v/>
      </c>
      <c r="K381">
        <f>IF(A381="","",F381-J381)</f>
        <v/>
      </c>
      <c r="L381">
        <f>IF(A381="","",IF(F381=0,"",(E381*F381+I381)/F381))</f>
        <v/>
      </c>
      <c r="M381">
        <f>IF(A381="","",IF(K381&lt;=0,"Sold Out","Active"))</f>
        <v/>
      </c>
    </row>
    <row r="382">
      <c r="I382">
        <f>IF(A382="","",SUMIFS(Expenses!D:D,Expenses!B:B,A382))</f>
        <v/>
      </c>
      <c r="J382">
        <f>IF(A382="","",SUMIFS(Sales!F:F,Sales!E:E,A382))</f>
        <v/>
      </c>
      <c r="K382">
        <f>IF(A382="","",F382-J382)</f>
        <v/>
      </c>
      <c r="L382">
        <f>IF(A382="","",IF(F382=0,"",(E382*F382+I382)/F382))</f>
        <v/>
      </c>
      <c r="M382">
        <f>IF(A382="","",IF(K382&lt;=0,"Sold Out","Active"))</f>
        <v/>
      </c>
    </row>
    <row r="383">
      <c r="I383">
        <f>IF(A383="","",SUMIFS(Expenses!D:D,Expenses!B:B,A383))</f>
        <v/>
      </c>
      <c r="J383">
        <f>IF(A383="","",SUMIFS(Sales!F:F,Sales!E:E,A383))</f>
        <v/>
      </c>
      <c r="K383">
        <f>IF(A383="","",F383-J383)</f>
        <v/>
      </c>
      <c r="L383">
        <f>IF(A383="","",IF(F383=0,"",(E383*F383+I383)/F383))</f>
        <v/>
      </c>
      <c r="M383">
        <f>IF(A383="","",IF(K383&lt;=0,"Sold Out","Active"))</f>
        <v/>
      </c>
    </row>
    <row r="384">
      <c r="I384">
        <f>IF(A384="","",SUMIFS(Expenses!D:D,Expenses!B:B,A384))</f>
        <v/>
      </c>
      <c r="J384">
        <f>IF(A384="","",SUMIFS(Sales!F:F,Sales!E:E,A384))</f>
        <v/>
      </c>
      <c r="K384">
        <f>IF(A384="","",F384-J384)</f>
        <v/>
      </c>
      <c r="L384">
        <f>IF(A384="","",IF(F384=0,"",(E384*F384+I384)/F384))</f>
        <v/>
      </c>
      <c r="M384">
        <f>IF(A384="","",IF(K384&lt;=0,"Sold Out","Active"))</f>
        <v/>
      </c>
    </row>
    <row r="385">
      <c r="I385">
        <f>IF(A385="","",SUMIFS(Expenses!D:D,Expenses!B:B,A385))</f>
        <v/>
      </c>
      <c r="J385">
        <f>IF(A385="","",SUMIFS(Sales!F:F,Sales!E:E,A385))</f>
        <v/>
      </c>
      <c r="K385">
        <f>IF(A385="","",F385-J385)</f>
        <v/>
      </c>
      <c r="L385">
        <f>IF(A385="","",IF(F385=0,"",(E385*F385+I385)/F385))</f>
        <v/>
      </c>
      <c r="M385">
        <f>IF(A385="","",IF(K385&lt;=0,"Sold Out","Active"))</f>
        <v/>
      </c>
    </row>
    <row r="386">
      <c r="I386">
        <f>IF(A386="","",SUMIFS(Expenses!D:D,Expenses!B:B,A386))</f>
        <v/>
      </c>
      <c r="J386">
        <f>IF(A386="","",SUMIFS(Sales!F:F,Sales!E:E,A386))</f>
        <v/>
      </c>
      <c r="K386">
        <f>IF(A386="","",F386-J386)</f>
        <v/>
      </c>
      <c r="L386">
        <f>IF(A386="","",IF(F386=0,"",(E386*F386+I386)/F386))</f>
        <v/>
      </c>
      <c r="M386">
        <f>IF(A386="","",IF(K386&lt;=0,"Sold Out","Active"))</f>
        <v/>
      </c>
    </row>
    <row r="387">
      <c r="I387">
        <f>IF(A387="","",SUMIFS(Expenses!D:D,Expenses!B:B,A387))</f>
        <v/>
      </c>
      <c r="J387">
        <f>IF(A387="","",SUMIFS(Sales!F:F,Sales!E:E,A387))</f>
        <v/>
      </c>
      <c r="K387">
        <f>IF(A387="","",F387-J387)</f>
        <v/>
      </c>
      <c r="L387">
        <f>IF(A387="","",IF(F387=0,"",(E387*F387+I387)/F387))</f>
        <v/>
      </c>
      <c r="M387">
        <f>IF(A387="","",IF(K387&lt;=0,"Sold Out","Active"))</f>
        <v/>
      </c>
    </row>
    <row r="388">
      <c r="I388">
        <f>IF(A388="","",SUMIFS(Expenses!D:D,Expenses!B:B,A388))</f>
        <v/>
      </c>
      <c r="J388">
        <f>IF(A388="","",SUMIFS(Sales!F:F,Sales!E:E,A388))</f>
        <v/>
      </c>
      <c r="K388">
        <f>IF(A388="","",F388-J388)</f>
        <v/>
      </c>
      <c r="L388">
        <f>IF(A388="","",IF(F388=0,"",(E388*F388+I388)/F388))</f>
        <v/>
      </c>
      <c r="M388">
        <f>IF(A388="","",IF(K388&lt;=0,"Sold Out","Active"))</f>
        <v/>
      </c>
    </row>
    <row r="389">
      <c r="I389">
        <f>IF(A389="","",SUMIFS(Expenses!D:D,Expenses!B:B,A389))</f>
        <v/>
      </c>
      <c r="J389">
        <f>IF(A389="","",SUMIFS(Sales!F:F,Sales!E:E,A389))</f>
        <v/>
      </c>
      <c r="K389">
        <f>IF(A389="","",F389-J389)</f>
        <v/>
      </c>
      <c r="L389">
        <f>IF(A389="","",IF(F389=0,"",(E389*F389+I389)/F389))</f>
        <v/>
      </c>
      <c r="M389">
        <f>IF(A389="","",IF(K389&lt;=0,"Sold Out","Active"))</f>
        <v/>
      </c>
    </row>
    <row r="390">
      <c r="I390">
        <f>IF(A390="","",SUMIFS(Expenses!D:D,Expenses!B:B,A390))</f>
        <v/>
      </c>
      <c r="J390">
        <f>IF(A390="","",SUMIFS(Sales!F:F,Sales!E:E,A390))</f>
        <v/>
      </c>
      <c r="K390">
        <f>IF(A390="","",F390-J390)</f>
        <v/>
      </c>
      <c r="L390">
        <f>IF(A390="","",IF(F390=0,"",(E390*F390+I390)/F390))</f>
        <v/>
      </c>
      <c r="M390">
        <f>IF(A390="","",IF(K390&lt;=0,"Sold Out","Active"))</f>
        <v/>
      </c>
    </row>
    <row r="391">
      <c r="I391">
        <f>IF(A391="","",SUMIFS(Expenses!D:D,Expenses!B:B,A391))</f>
        <v/>
      </c>
      <c r="J391">
        <f>IF(A391="","",SUMIFS(Sales!F:F,Sales!E:E,A391))</f>
        <v/>
      </c>
      <c r="K391">
        <f>IF(A391="","",F391-J391)</f>
        <v/>
      </c>
      <c r="L391">
        <f>IF(A391="","",IF(F391=0,"",(E391*F391+I391)/F391))</f>
        <v/>
      </c>
      <c r="M391">
        <f>IF(A391="","",IF(K391&lt;=0,"Sold Out","Active"))</f>
        <v/>
      </c>
    </row>
    <row r="392">
      <c r="I392">
        <f>IF(A392="","",SUMIFS(Expenses!D:D,Expenses!B:B,A392))</f>
        <v/>
      </c>
      <c r="J392">
        <f>IF(A392="","",SUMIFS(Sales!F:F,Sales!E:E,A392))</f>
        <v/>
      </c>
      <c r="K392">
        <f>IF(A392="","",F392-J392)</f>
        <v/>
      </c>
      <c r="L392">
        <f>IF(A392="","",IF(F392=0,"",(E392*F392+I392)/F392))</f>
        <v/>
      </c>
      <c r="M392">
        <f>IF(A392="","",IF(K392&lt;=0,"Sold Out","Active"))</f>
        <v/>
      </c>
    </row>
    <row r="393">
      <c r="I393">
        <f>IF(A393="","",SUMIFS(Expenses!D:D,Expenses!B:B,A393))</f>
        <v/>
      </c>
      <c r="J393">
        <f>IF(A393="","",SUMIFS(Sales!F:F,Sales!E:E,A393))</f>
        <v/>
      </c>
      <c r="K393">
        <f>IF(A393="","",F393-J393)</f>
        <v/>
      </c>
      <c r="L393">
        <f>IF(A393="","",IF(F393=0,"",(E393*F393+I393)/F393))</f>
        <v/>
      </c>
      <c r="M393">
        <f>IF(A393="","",IF(K393&lt;=0,"Sold Out","Active"))</f>
        <v/>
      </c>
    </row>
    <row r="394">
      <c r="I394">
        <f>IF(A394="","",SUMIFS(Expenses!D:D,Expenses!B:B,A394))</f>
        <v/>
      </c>
      <c r="J394">
        <f>IF(A394="","",SUMIFS(Sales!F:F,Sales!E:E,A394))</f>
        <v/>
      </c>
      <c r="K394">
        <f>IF(A394="","",F394-J394)</f>
        <v/>
      </c>
      <c r="L394">
        <f>IF(A394="","",IF(F394=0,"",(E394*F394+I394)/F394))</f>
        <v/>
      </c>
      <c r="M394">
        <f>IF(A394="","",IF(K394&lt;=0,"Sold Out","Active"))</f>
        <v/>
      </c>
    </row>
    <row r="395">
      <c r="I395">
        <f>IF(A395="","",SUMIFS(Expenses!D:D,Expenses!B:B,A395))</f>
        <v/>
      </c>
      <c r="J395">
        <f>IF(A395="","",SUMIFS(Sales!F:F,Sales!E:E,A395))</f>
        <v/>
      </c>
      <c r="K395">
        <f>IF(A395="","",F395-J395)</f>
        <v/>
      </c>
      <c r="L395">
        <f>IF(A395="","",IF(F395=0,"",(E395*F395+I395)/F395))</f>
        <v/>
      </c>
      <c r="M395">
        <f>IF(A395="","",IF(K395&lt;=0,"Sold Out","Active"))</f>
        <v/>
      </c>
    </row>
    <row r="396">
      <c r="I396">
        <f>IF(A396="","",SUMIFS(Expenses!D:D,Expenses!B:B,A396))</f>
        <v/>
      </c>
      <c r="J396">
        <f>IF(A396="","",SUMIFS(Sales!F:F,Sales!E:E,A396))</f>
        <v/>
      </c>
      <c r="K396">
        <f>IF(A396="","",F396-J396)</f>
        <v/>
      </c>
      <c r="L396">
        <f>IF(A396="","",IF(F396=0,"",(E396*F396+I396)/F396))</f>
        <v/>
      </c>
      <c r="M396">
        <f>IF(A396="","",IF(K396&lt;=0,"Sold Out","Active"))</f>
        <v/>
      </c>
    </row>
    <row r="397">
      <c r="I397">
        <f>IF(A397="","",SUMIFS(Expenses!D:D,Expenses!B:B,A397))</f>
        <v/>
      </c>
      <c r="J397">
        <f>IF(A397="","",SUMIFS(Sales!F:F,Sales!E:E,A397))</f>
        <v/>
      </c>
      <c r="K397">
        <f>IF(A397="","",F397-J397)</f>
        <v/>
      </c>
      <c r="L397">
        <f>IF(A397="","",IF(F397=0,"",(E397*F397+I397)/F397))</f>
        <v/>
      </c>
      <c r="M397">
        <f>IF(A397="","",IF(K397&lt;=0,"Sold Out","Active"))</f>
        <v/>
      </c>
    </row>
    <row r="398">
      <c r="I398">
        <f>IF(A398="","",SUMIFS(Expenses!D:D,Expenses!B:B,A398))</f>
        <v/>
      </c>
      <c r="J398">
        <f>IF(A398="","",SUMIFS(Sales!F:F,Sales!E:E,A398))</f>
        <v/>
      </c>
      <c r="K398">
        <f>IF(A398="","",F398-J398)</f>
        <v/>
      </c>
      <c r="L398">
        <f>IF(A398="","",IF(F398=0,"",(E398*F398+I398)/F398))</f>
        <v/>
      </c>
      <c r="M398">
        <f>IF(A398="","",IF(K398&lt;=0,"Sold Out","Active"))</f>
        <v/>
      </c>
    </row>
    <row r="399">
      <c r="I399">
        <f>IF(A399="","",SUMIFS(Expenses!D:D,Expenses!B:B,A399))</f>
        <v/>
      </c>
      <c r="J399">
        <f>IF(A399="","",SUMIFS(Sales!F:F,Sales!E:E,A399))</f>
        <v/>
      </c>
      <c r="K399">
        <f>IF(A399="","",F399-J399)</f>
        <v/>
      </c>
      <c r="L399">
        <f>IF(A399="","",IF(F399=0,"",(E399*F399+I399)/F399))</f>
        <v/>
      </c>
      <c r="M399">
        <f>IF(A399="","",IF(K399&lt;=0,"Sold Out","Active"))</f>
        <v/>
      </c>
    </row>
    <row r="400">
      <c r="I400">
        <f>IF(A400="","",SUMIFS(Expenses!D:D,Expenses!B:B,A400))</f>
        <v/>
      </c>
      <c r="J400">
        <f>IF(A400="","",SUMIFS(Sales!F:F,Sales!E:E,A400))</f>
        <v/>
      </c>
      <c r="K400">
        <f>IF(A400="","",F400-J400)</f>
        <v/>
      </c>
      <c r="L400">
        <f>IF(A400="","",IF(F400=0,"",(E400*F400+I400)/F400))</f>
        <v/>
      </c>
      <c r="M400">
        <f>IF(A400="","",IF(K400&lt;=0,"Sold Out","Active"))</f>
        <v/>
      </c>
    </row>
    <row r="401">
      <c r="I401">
        <f>IF(A401="","",SUMIFS(Expenses!D:D,Expenses!B:B,A401))</f>
        <v/>
      </c>
      <c r="J401">
        <f>IF(A401="","",SUMIFS(Sales!F:F,Sales!E:E,A401))</f>
        <v/>
      </c>
      <c r="K401">
        <f>IF(A401="","",F401-J401)</f>
        <v/>
      </c>
      <c r="L401">
        <f>IF(A401="","",IF(F401=0,"",(E401*F401+I401)/F401))</f>
        <v/>
      </c>
      <c r="M401">
        <f>IF(A401="","",IF(K401&lt;=0,"Sold Out","Active"))</f>
        <v/>
      </c>
    </row>
    <row r="402">
      <c r="I402">
        <f>IF(A402="","",SUMIFS(Expenses!D:D,Expenses!B:B,A402))</f>
        <v/>
      </c>
      <c r="J402">
        <f>IF(A402="","",SUMIFS(Sales!F:F,Sales!E:E,A402))</f>
        <v/>
      </c>
      <c r="K402">
        <f>IF(A402="","",F402-J402)</f>
        <v/>
      </c>
      <c r="L402">
        <f>IF(A402="","",IF(F402=0,"",(E402*F402+I402)/F402))</f>
        <v/>
      </c>
      <c r="M402">
        <f>IF(A402="","",IF(K402&lt;=0,"Sold Out","Active"))</f>
        <v/>
      </c>
    </row>
    <row r="403">
      <c r="I403">
        <f>IF(A403="","",SUMIFS(Expenses!D:D,Expenses!B:B,A403))</f>
        <v/>
      </c>
      <c r="J403">
        <f>IF(A403="","",SUMIFS(Sales!F:F,Sales!E:E,A403))</f>
        <v/>
      </c>
      <c r="K403">
        <f>IF(A403="","",F403-J403)</f>
        <v/>
      </c>
      <c r="L403">
        <f>IF(A403="","",IF(F403=0,"",(E403*F403+I403)/F403))</f>
        <v/>
      </c>
      <c r="M403">
        <f>IF(A403="","",IF(K403&lt;=0,"Sold Out","Active"))</f>
        <v/>
      </c>
    </row>
    <row r="404">
      <c r="I404">
        <f>IF(A404="","",SUMIFS(Expenses!D:D,Expenses!B:B,A404))</f>
        <v/>
      </c>
      <c r="J404">
        <f>IF(A404="","",SUMIFS(Sales!F:F,Sales!E:E,A404))</f>
        <v/>
      </c>
      <c r="K404">
        <f>IF(A404="","",F404-J404)</f>
        <v/>
      </c>
      <c r="L404">
        <f>IF(A404="","",IF(F404=0,"",(E404*F404+I404)/F404))</f>
        <v/>
      </c>
      <c r="M404">
        <f>IF(A404="","",IF(K404&lt;=0,"Sold Out","Active"))</f>
        <v/>
      </c>
    </row>
    <row r="405">
      <c r="I405">
        <f>IF(A405="","",SUMIFS(Expenses!D:D,Expenses!B:B,A405))</f>
        <v/>
      </c>
      <c r="J405">
        <f>IF(A405="","",SUMIFS(Sales!F:F,Sales!E:E,A405))</f>
        <v/>
      </c>
      <c r="K405">
        <f>IF(A405="","",F405-J405)</f>
        <v/>
      </c>
      <c r="L405">
        <f>IF(A405="","",IF(F405=0,"",(E405*F405+I405)/F405))</f>
        <v/>
      </c>
      <c r="M405">
        <f>IF(A405="","",IF(K405&lt;=0,"Sold Out","Active"))</f>
        <v/>
      </c>
    </row>
    <row r="406">
      <c r="I406">
        <f>IF(A406="","",SUMIFS(Expenses!D:D,Expenses!B:B,A406))</f>
        <v/>
      </c>
      <c r="J406">
        <f>IF(A406="","",SUMIFS(Sales!F:F,Sales!E:E,A406))</f>
        <v/>
      </c>
      <c r="K406">
        <f>IF(A406="","",F406-J406)</f>
        <v/>
      </c>
      <c r="L406">
        <f>IF(A406="","",IF(F406=0,"",(E406*F406+I406)/F406))</f>
        <v/>
      </c>
      <c r="M406">
        <f>IF(A406="","",IF(K406&lt;=0,"Sold Out","Active"))</f>
        <v/>
      </c>
    </row>
    <row r="407">
      <c r="I407">
        <f>IF(A407="","",SUMIFS(Expenses!D:D,Expenses!B:B,A407))</f>
        <v/>
      </c>
      <c r="J407">
        <f>IF(A407="","",SUMIFS(Sales!F:F,Sales!E:E,A407))</f>
        <v/>
      </c>
      <c r="K407">
        <f>IF(A407="","",F407-J407)</f>
        <v/>
      </c>
      <c r="L407">
        <f>IF(A407="","",IF(F407=0,"",(E407*F407+I407)/F407))</f>
        <v/>
      </c>
      <c r="M407">
        <f>IF(A407="","",IF(K407&lt;=0,"Sold Out","Active"))</f>
        <v/>
      </c>
    </row>
    <row r="408">
      <c r="I408">
        <f>IF(A408="","",SUMIFS(Expenses!D:D,Expenses!B:B,A408))</f>
        <v/>
      </c>
      <c r="J408">
        <f>IF(A408="","",SUMIFS(Sales!F:F,Sales!E:E,A408))</f>
        <v/>
      </c>
      <c r="K408">
        <f>IF(A408="","",F408-J408)</f>
        <v/>
      </c>
      <c r="L408">
        <f>IF(A408="","",IF(F408=0,"",(E408*F408+I408)/F408))</f>
        <v/>
      </c>
      <c r="M408">
        <f>IF(A408="","",IF(K408&lt;=0,"Sold Out","Active"))</f>
        <v/>
      </c>
    </row>
    <row r="409">
      <c r="I409">
        <f>IF(A409="","",SUMIFS(Expenses!D:D,Expenses!B:B,A409))</f>
        <v/>
      </c>
      <c r="J409">
        <f>IF(A409="","",SUMIFS(Sales!F:F,Sales!E:E,A409))</f>
        <v/>
      </c>
      <c r="K409">
        <f>IF(A409="","",F409-J409)</f>
        <v/>
      </c>
      <c r="L409">
        <f>IF(A409="","",IF(F409=0,"",(E409*F409+I409)/F409))</f>
        <v/>
      </c>
      <c r="M409">
        <f>IF(A409="","",IF(K409&lt;=0,"Sold Out","Active"))</f>
        <v/>
      </c>
    </row>
    <row r="410">
      <c r="I410">
        <f>IF(A410="","",SUMIFS(Expenses!D:D,Expenses!B:B,A410))</f>
        <v/>
      </c>
      <c r="J410">
        <f>IF(A410="","",SUMIFS(Sales!F:F,Sales!E:E,A410))</f>
        <v/>
      </c>
      <c r="K410">
        <f>IF(A410="","",F410-J410)</f>
        <v/>
      </c>
      <c r="L410">
        <f>IF(A410="","",IF(F410=0,"",(E410*F410+I410)/F410))</f>
        <v/>
      </c>
      <c r="M410">
        <f>IF(A410="","",IF(K410&lt;=0,"Sold Out","Active"))</f>
        <v/>
      </c>
    </row>
    <row r="411">
      <c r="I411">
        <f>IF(A411="","",SUMIFS(Expenses!D:D,Expenses!B:B,A411))</f>
        <v/>
      </c>
      <c r="J411">
        <f>IF(A411="","",SUMIFS(Sales!F:F,Sales!E:E,A411))</f>
        <v/>
      </c>
      <c r="K411">
        <f>IF(A411="","",F411-J411)</f>
        <v/>
      </c>
      <c r="L411">
        <f>IF(A411="","",IF(F411=0,"",(E411*F411+I411)/F411))</f>
        <v/>
      </c>
      <c r="M411">
        <f>IF(A411="","",IF(K411&lt;=0,"Sold Out","Active"))</f>
        <v/>
      </c>
    </row>
    <row r="412">
      <c r="I412">
        <f>IF(A412="","",SUMIFS(Expenses!D:D,Expenses!B:B,A412))</f>
        <v/>
      </c>
      <c r="J412">
        <f>IF(A412="","",SUMIFS(Sales!F:F,Sales!E:E,A412))</f>
        <v/>
      </c>
      <c r="K412">
        <f>IF(A412="","",F412-J412)</f>
        <v/>
      </c>
      <c r="L412">
        <f>IF(A412="","",IF(F412=0,"",(E412*F412+I412)/F412))</f>
        <v/>
      </c>
      <c r="M412">
        <f>IF(A412="","",IF(K412&lt;=0,"Sold Out","Active"))</f>
        <v/>
      </c>
    </row>
    <row r="413">
      <c r="I413">
        <f>IF(A413="","",SUMIFS(Expenses!D:D,Expenses!B:B,A413))</f>
        <v/>
      </c>
      <c r="J413">
        <f>IF(A413="","",SUMIFS(Sales!F:F,Sales!E:E,A413))</f>
        <v/>
      </c>
      <c r="K413">
        <f>IF(A413="","",F413-J413)</f>
        <v/>
      </c>
      <c r="L413">
        <f>IF(A413="","",IF(F413=0,"",(E413*F413+I413)/F413))</f>
        <v/>
      </c>
      <c r="M413">
        <f>IF(A413="","",IF(K413&lt;=0,"Sold Out","Active"))</f>
        <v/>
      </c>
    </row>
    <row r="414">
      <c r="I414">
        <f>IF(A414="","",SUMIFS(Expenses!D:D,Expenses!B:B,A414))</f>
        <v/>
      </c>
      <c r="J414">
        <f>IF(A414="","",SUMIFS(Sales!F:F,Sales!E:E,A414))</f>
        <v/>
      </c>
      <c r="K414">
        <f>IF(A414="","",F414-J414)</f>
        <v/>
      </c>
      <c r="L414">
        <f>IF(A414="","",IF(F414=0,"",(E414*F414+I414)/F414))</f>
        <v/>
      </c>
      <c r="M414">
        <f>IF(A414="","",IF(K414&lt;=0,"Sold Out","Active"))</f>
        <v/>
      </c>
    </row>
    <row r="415">
      <c r="I415">
        <f>IF(A415="","",SUMIFS(Expenses!D:D,Expenses!B:B,A415))</f>
        <v/>
      </c>
      <c r="J415">
        <f>IF(A415="","",SUMIFS(Sales!F:F,Sales!E:E,A415))</f>
        <v/>
      </c>
      <c r="K415">
        <f>IF(A415="","",F415-J415)</f>
        <v/>
      </c>
      <c r="L415">
        <f>IF(A415="","",IF(F415=0,"",(E415*F415+I415)/F415))</f>
        <v/>
      </c>
      <c r="M415">
        <f>IF(A415="","",IF(K415&lt;=0,"Sold Out","Active"))</f>
        <v/>
      </c>
    </row>
    <row r="416">
      <c r="I416">
        <f>IF(A416="","",SUMIFS(Expenses!D:D,Expenses!B:B,A416))</f>
        <v/>
      </c>
      <c r="J416">
        <f>IF(A416="","",SUMIFS(Sales!F:F,Sales!E:E,A416))</f>
        <v/>
      </c>
      <c r="K416">
        <f>IF(A416="","",F416-J416)</f>
        <v/>
      </c>
      <c r="L416">
        <f>IF(A416="","",IF(F416=0,"",(E416*F416+I416)/F416))</f>
        <v/>
      </c>
      <c r="M416">
        <f>IF(A416="","",IF(K416&lt;=0,"Sold Out","Active"))</f>
        <v/>
      </c>
    </row>
    <row r="417">
      <c r="I417">
        <f>IF(A417="","",SUMIFS(Expenses!D:D,Expenses!B:B,A417))</f>
        <v/>
      </c>
      <c r="J417">
        <f>IF(A417="","",SUMIFS(Sales!F:F,Sales!E:E,A417))</f>
        <v/>
      </c>
      <c r="K417">
        <f>IF(A417="","",F417-J417)</f>
        <v/>
      </c>
      <c r="L417">
        <f>IF(A417="","",IF(F417=0,"",(E417*F417+I417)/F417))</f>
        <v/>
      </c>
      <c r="M417">
        <f>IF(A417="","",IF(K417&lt;=0,"Sold Out","Active"))</f>
        <v/>
      </c>
    </row>
    <row r="418">
      <c r="I418">
        <f>IF(A418="","",SUMIFS(Expenses!D:D,Expenses!B:B,A418))</f>
        <v/>
      </c>
      <c r="J418">
        <f>IF(A418="","",SUMIFS(Sales!F:F,Sales!E:E,A418))</f>
        <v/>
      </c>
      <c r="K418">
        <f>IF(A418="","",F418-J418)</f>
        <v/>
      </c>
      <c r="L418">
        <f>IF(A418="","",IF(F418=0,"",(E418*F418+I418)/F418))</f>
        <v/>
      </c>
      <c r="M418">
        <f>IF(A418="","",IF(K418&lt;=0,"Sold Out","Active"))</f>
        <v/>
      </c>
    </row>
    <row r="419">
      <c r="I419">
        <f>IF(A419="","",SUMIFS(Expenses!D:D,Expenses!B:B,A419))</f>
        <v/>
      </c>
      <c r="J419">
        <f>IF(A419="","",SUMIFS(Sales!F:F,Sales!E:E,A419))</f>
        <v/>
      </c>
      <c r="K419">
        <f>IF(A419="","",F419-J419)</f>
        <v/>
      </c>
      <c r="L419">
        <f>IF(A419="","",IF(F419=0,"",(E419*F419+I419)/F419))</f>
        <v/>
      </c>
      <c r="M419">
        <f>IF(A419="","",IF(K419&lt;=0,"Sold Out","Active"))</f>
        <v/>
      </c>
    </row>
    <row r="420">
      <c r="I420">
        <f>IF(A420="","",SUMIFS(Expenses!D:D,Expenses!B:B,A420))</f>
        <v/>
      </c>
      <c r="J420">
        <f>IF(A420="","",SUMIFS(Sales!F:F,Sales!E:E,A420))</f>
        <v/>
      </c>
      <c r="K420">
        <f>IF(A420="","",F420-J420)</f>
        <v/>
      </c>
      <c r="L420">
        <f>IF(A420="","",IF(F420=0,"",(E420*F420+I420)/F420))</f>
        <v/>
      </c>
      <c r="M420">
        <f>IF(A420="","",IF(K420&lt;=0,"Sold Out","Active"))</f>
        <v/>
      </c>
    </row>
    <row r="421">
      <c r="I421">
        <f>IF(A421="","",SUMIFS(Expenses!D:D,Expenses!B:B,A421))</f>
        <v/>
      </c>
      <c r="J421">
        <f>IF(A421="","",SUMIFS(Sales!F:F,Sales!E:E,A421))</f>
        <v/>
      </c>
      <c r="K421">
        <f>IF(A421="","",F421-J421)</f>
        <v/>
      </c>
      <c r="L421">
        <f>IF(A421="","",IF(F421=0,"",(E421*F421+I421)/F421))</f>
        <v/>
      </c>
      <c r="M421">
        <f>IF(A421="","",IF(K421&lt;=0,"Sold Out","Active"))</f>
        <v/>
      </c>
    </row>
    <row r="422">
      <c r="I422">
        <f>IF(A422="","",SUMIFS(Expenses!D:D,Expenses!B:B,A422))</f>
        <v/>
      </c>
      <c r="J422">
        <f>IF(A422="","",SUMIFS(Sales!F:F,Sales!E:E,A422))</f>
        <v/>
      </c>
      <c r="K422">
        <f>IF(A422="","",F422-J422)</f>
        <v/>
      </c>
      <c r="L422">
        <f>IF(A422="","",IF(F422=0,"",(E422*F422+I422)/F422))</f>
        <v/>
      </c>
      <c r="M422">
        <f>IF(A422="","",IF(K422&lt;=0,"Sold Out","Active"))</f>
        <v/>
      </c>
    </row>
    <row r="423">
      <c r="I423">
        <f>IF(A423="","",SUMIFS(Expenses!D:D,Expenses!B:B,A423))</f>
        <v/>
      </c>
      <c r="J423">
        <f>IF(A423="","",SUMIFS(Sales!F:F,Sales!E:E,A423))</f>
        <v/>
      </c>
      <c r="K423">
        <f>IF(A423="","",F423-J423)</f>
        <v/>
      </c>
      <c r="L423">
        <f>IF(A423="","",IF(F423=0,"",(E423*F423+I423)/F423))</f>
        <v/>
      </c>
      <c r="M423">
        <f>IF(A423="","",IF(K423&lt;=0,"Sold Out","Active"))</f>
        <v/>
      </c>
    </row>
    <row r="424">
      <c r="I424">
        <f>IF(A424="","",SUMIFS(Expenses!D:D,Expenses!B:B,A424))</f>
        <v/>
      </c>
      <c r="J424">
        <f>IF(A424="","",SUMIFS(Sales!F:F,Sales!E:E,A424))</f>
        <v/>
      </c>
      <c r="K424">
        <f>IF(A424="","",F424-J424)</f>
        <v/>
      </c>
      <c r="L424">
        <f>IF(A424="","",IF(F424=0,"",(E424*F424+I424)/F424))</f>
        <v/>
      </c>
      <c r="M424">
        <f>IF(A424="","",IF(K424&lt;=0,"Sold Out","Active"))</f>
        <v/>
      </c>
    </row>
    <row r="425">
      <c r="I425">
        <f>IF(A425="","",SUMIFS(Expenses!D:D,Expenses!B:B,A425))</f>
        <v/>
      </c>
      <c r="J425">
        <f>IF(A425="","",SUMIFS(Sales!F:F,Sales!E:E,A425))</f>
        <v/>
      </c>
      <c r="K425">
        <f>IF(A425="","",F425-J425)</f>
        <v/>
      </c>
      <c r="L425">
        <f>IF(A425="","",IF(F425=0,"",(E425*F425+I425)/F425))</f>
        <v/>
      </c>
      <c r="M425">
        <f>IF(A425="","",IF(K425&lt;=0,"Sold Out","Active"))</f>
        <v/>
      </c>
    </row>
    <row r="426">
      <c r="I426">
        <f>IF(A426="","",SUMIFS(Expenses!D:D,Expenses!B:B,A426))</f>
        <v/>
      </c>
      <c r="J426">
        <f>IF(A426="","",SUMIFS(Sales!F:F,Sales!E:E,A426))</f>
        <v/>
      </c>
      <c r="K426">
        <f>IF(A426="","",F426-J426)</f>
        <v/>
      </c>
      <c r="L426">
        <f>IF(A426="","",IF(F426=0,"",(E426*F426+I426)/F426))</f>
        <v/>
      </c>
      <c r="M426">
        <f>IF(A426="","",IF(K426&lt;=0,"Sold Out","Active"))</f>
        <v/>
      </c>
    </row>
    <row r="427">
      <c r="I427">
        <f>IF(A427="","",SUMIFS(Expenses!D:D,Expenses!B:B,A427))</f>
        <v/>
      </c>
      <c r="J427">
        <f>IF(A427="","",SUMIFS(Sales!F:F,Sales!E:E,A427))</f>
        <v/>
      </c>
      <c r="K427">
        <f>IF(A427="","",F427-J427)</f>
        <v/>
      </c>
      <c r="L427">
        <f>IF(A427="","",IF(F427=0,"",(E427*F427+I427)/F427))</f>
        <v/>
      </c>
      <c r="M427">
        <f>IF(A427="","",IF(K427&lt;=0,"Sold Out","Active"))</f>
        <v/>
      </c>
    </row>
    <row r="428">
      <c r="I428">
        <f>IF(A428="","",SUMIFS(Expenses!D:D,Expenses!B:B,A428))</f>
        <v/>
      </c>
      <c r="J428">
        <f>IF(A428="","",SUMIFS(Sales!F:F,Sales!E:E,A428))</f>
        <v/>
      </c>
      <c r="K428">
        <f>IF(A428="","",F428-J428)</f>
        <v/>
      </c>
      <c r="L428">
        <f>IF(A428="","",IF(F428=0,"",(E428*F428+I428)/F428))</f>
        <v/>
      </c>
      <c r="M428">
        <f>IF(A428="","",IF(K428&lt;=0,"Sold Out","Active"))</f>
        <v/>
      </c>
    </row>
    <row r="429">
      <c r="I429">
        <f>IF(A429="","",SUMIFS(Expenses!D:D,Expenses!B:B,A429))</f>
        <v/>
      </c>
      <c r="J429">
        <f>IF(A429="","",SUMIFS(Sales!F:F,Sales!E:E,A429))</f>
        <v/>
      </c>
      <c r="K429">
        <f>IF(A429="","",F429-J429)</f>
        <v/>
      </c>
      <c r="L429">
        <f>IF(A429="","",IF(F429=0,"",(E429*F429+I429)/F429))</f>
        <v/>
      </c>
      <c r="M429">
        <f>IF(A429="","",IF(K429&lt;=0,"Sold Out","Active"))</f>
        <v/>
      </c>
    </row>
    <row r="430">
      <c r="I430">
        <f>IF(A430="","",SUMIFS(Expenses!D:D,Expenses!B:B,A430))</f>
        <v/>
      </c>
      <c r="J430">
        <f>IF(A430="","",SUMIFS(Sales!F:F,Sales!E:E,A430))</f>
        <v/>
      </c>
      <c r="K430">
        <f>IF(A430="","",F430-J430)</f>
        <v/>
      </c>
      <c r="L430">
        <f>IF(A430="","",IF(F430=0,"",(E430*F430+I430)/F430))</f>
        <v/>
      </c>
      <c r="M430">
        <f>IF(A430="","",IF(K430&lt;=0,"Sold Out","Active"))</f>
        <v/>
      </c>
    </row>
    <row r="431">
      <c r="I431">
        <f>IF(A431="","",SUMIFS(Expenses!D:D,Expenses!B:B,A431))</f>
        <v/>
      </c>
      <c r="J431">
        <f>IF(A431="","",SUMIFS(Sales!F:F,Sales!E:E,A431))</f>
        <v/>
      </c>
      <c r="K431">
        <f>IF(A431="","",F431-J431)</f>
        <v/>
      </c>
      <c r="L431">
        <f>IF(A431="","",IF(F431=0,"",(E431*F431+I431)/F431))</f>
        <v/>
      </c>
      <c r="M431">
        <f>IF(A431="","",IF(K431&lt;=0,"Sold Out","Active"))</f>
        <v/>
      </c>
    </row>
    <row r="432">
      <c r="I432">
        <f>IF(A432="","",SUMIFS(Expenses!D:D,Expenses!B:B,A432))</f>
        <v/>
      </c>
      <c r="J432">
        <f>IF(A432="","",SUMIFS(Sales!F:F,Sales!E:E,A432))</f>
        <v/>
      </c>
      <c r="K432">
        <f>IF(A432="","",F432-J432)</f>
        <v/>
      </c>
      <c r="L432">
        <f>IF(A432="","",IF(F432=0,"",(E432*F432+I432)/F432))</f>
        <v/>
      </c>
      <c r="M432">
        <f>IF(A432="","",IF(K432&lt;=0,"Sold Out","Active"))</f>
        <v/>
      </c>
    </row>
    <row r="433">
      <c r="I433">
        <f>IF(A433="","",SUMIFS(Expenses!D:D,Expenses!B:B,A433))</f>
        <v/>
      </c>
      <c r="J433">
        <f>IF(A433="","",SUMIFS(Sales!F:F,Sales!E:E,A433))</f>
        <v/>
      </c>
      <c r="K433">
        <f>IF(A433="","",F433-J433)</f>
        <v/>
      </c>
      <c r="L433">
        <f>IF(A433="","",IF(F433=0,"",(E433*F433+I433)/F433))</f>
        <v/>
      </c>
      <c r="M433">
        <f>IF(A433="","",IF(K433&lt;=0,"Sold Out","Active"))</f>
        <v/>
      </c>
    </row>
    <row r="434">
      <c r="I434">
        <f>IF(A434="","",SUMIFS(Expenses!D:D,Expenses!B:B,A434))</f>
        <v/>
      </c>
      <c r="J434">
        <f>IF(A434="","",SUMIFS(Sales!F:F,Sales!E:E,A434))</f>
        <v/>
      </c>
      <c r="K434">
        <f>IF(A434="","",F434-J434)</f>
        <v/>
      </c>
      <c r="L434">
        <f>IF(A434="","",IF(F434=0,"",(E434*F434+I434)/F434))</f>
        <v/>
      </c>
      <c r="M434">
        <f>IF(A434="","",IF(K434&lt;=0,"Sold Out","Active"))</f>
        <v/>
      </c>
    </row>
    <row r="435">
      <c r="I435">
        <f>IF(A435="","",SUMIFS(Expenses!D:D,Expenses!B:B,A435))</f>
        <v/>
      </c>
      <c r="J435">
        <f>IF(A435="","",SUMIFS(Sales!F:F,Sales!E:E,A435))</f>
        <v/>
      </c>
      <c r="K435">
        <f>IF(A435="","",F435-J435)</f>
        <v/>
      </c>
      <c r="L435">
        <f>IF(A435="","",IF(F435=0,"",(E435*F435+I435)/F435))</f>
        <v/>
      </c>
      <c r="M435">
        <f>IF(A435="","",IF(K435&lt;=0,"Sold Out","Active"))</f>
        <v/>
      </c>
    </row>
    <row r="436">
      <c r="I436">
        <f>IF(A436="","",SUMIFS(Expenses!D:D,Expenses!B:B,A436))</f>
        <v/>
      </c>
      <c r="J436">
        <f>IF(A436="","",SUMIFS(Sales!F:F,Sales!E:E,A436))</f>
        <v/>
      </c>
      <c r="K436">
        <f>IF(A436="","",F436-J436)</f>
        <v/>
      </c>
      <c r="L436">
        <f>IF(A436="","",IF(F436=0,"",(E436*F436+I436)/F436))</f>
        <v/>
      </c>
      <c r="M436">
        <f>IF(A436="","",IF(K436&lt;=0,"Sold Out","Active"))</f>
        <v/>
      </c>
    </row>
    <row r="437">
      <c r="I437">
        <f>IF(A437="","",SUMIFS(Expenses!D:D,Expenses!B:B,A437))</f>
        <v/>
      </c>
      <c r="J437">
        <f>IF(A437="","",SUMIFS(Sales!F:F,Sales!E:E,A437))</f>
        <v/>
      </c>
      <c r="K437">
        <f>IF(A437="","",F437-J437)</f>
        <v/>
      </c>
      <c r="L437">
        <f>IF(A437="","",IF(F437=0,"",(E437*F437+I437)/F437))</f>
        <v/>
      </c>
      <c r="M437">
        <f>IF(A437="","",IF(K437&lt;=0,"Sold Out","Active"))</f>
        <v/>
      </c>
    </row>
    <row r="438">
      <c r="I438">
        <f>IF(A438="","",SUMIFS(Expenses!D:D,Expenses!B:B,A438))</f>
        <v/>
      </c>
      <c r="J438">
        <f>IF(A438="","",SUMIFS(Sales!F:F,Sales!E:E,A438))</f>
        <v/>
      </c>
      <c r="K438">
        <f>IF(A438="","",F438-J438)</f>
        <v/>
      </c>
      <c r="L438">
        <f>IF(A438="","",IF(F438=0,"",(E438*F438+I438)/F438))</f>
        <v/>
      </c>
      <c r="M438">
        <f>IF(A438="","",IF(K438&lt;=0,"Sold Out","Active"))</f>
        <v/>
      </c>
    </row>
    <row r="439">
      <c r="I439">
        <f>IF(A439="","",SUMIFS(Expenses!D:D,Expenses!B:B,A439))</f>
        <v/>
      </c>
      <c r="J439">
        <f>IF(A439="","",SUMIFS(Sales!F:F,Sales!E:E,A439))</f>
        <v/>
      </c>
      <c r="K439">
        <f>IF(A439="","",F439-J439)</f>
        <v/>
      </c>
      <c r="L439">
        <f>IF(A439="","",IF(F439=0,"",(E439*F439+I439)/F439))</f>
        <v/>
      </c>
      <c r="M439">
        <f>IF(A439="","",IF(K439&lt;=0,"Sold Out","Active"))</f>
        <v/>
      </c>
    </row>
    <row r="440">
      <c r="I440">
        <f>IF(A440="","",SUMIFS(Expenses!D:D,Expenses!B:B,A440))</f>
        <v/>
      </c>
      <c r="J440">
        <f>IF(A440="","",SUMIFS(Sales!F:F,Sales!E:E,A440))</f>
        <v/>
      </c>
      <c r="K440">
        <f>IF(A440="","",F440-J440)</f>
        <v/>
      </c>
      <c r="L440">
        <f>IF(A440="","",IF(F440=0,"",(E440*F440+I440)/F440))</f>
        <v/>
      </c>
      <c r="M440">
        <f>IF(A440="","",IF(K440&lt;=0,"Sold Out","Active"))</f>
        <v/>
      </c>
    </row>
    <row r="441">
      <c r="I441">
        <f>IF(A441="","",SUMIFS(Expenses!D:D,Expenses!B:B,A441))</f>
        <v/>
      </c>
      <c r="J441">
        <f>IF(A441="","",SUMIFS(Sales!F:F,Sales!E:E,A441))</f>
        <v/>
      </c>
      <c r="K441">
        <f>IF(A441="","",F441-J441)</f>
        <v/>
      </c>
      <c r="L441">
        <f>IF(A441="","",IF(F441=0,"",(E441*F441+I441)/F441))</f>
        <v/>
      </c>
      <c r="M441">
        <f>IF(A441="","",IF(K441&lt;=0,"Sold Out","Active"))</f>
        <v/>
      </c>
    </row>
    <row r="442">
      <c r="I442">
        <f>IF(A442="","",SUMIFS(Expenses!D:D,Expenses!B:B,A442))</f>
        <v/>
      </c>
      <c r="J442">
        <f>IF(A442="","",SUMIFS(Sales!F:F,Sales!E:E,A442))</f>
        <v/>
      </c>
      <c r="K442">
        <f>IF(A442="","",F442-J442)</f>
        <v/>
      </c>
      <c r="L442">
        <f>IF(A442="","",IF(F442=0,"",(E442*F442+I442)/F442))</f>
        <v/>
      </c>
      <c r="M442">
        <f>IF(A442="","",IF(K442&lt;=0,"Sold Out","Active"))</f>
        <v/>
      </c>
    </row>
    <row r="443">
      <c r="I443">
        <f>IF(A443="","",SUMIFS(Expenses!D:D,Expenses!B:B,A443))</f>
        <v/>
      </c>
      <c r="J443">
        <f>IF(A443="","",SUMIFS(Sales!F:F,Sales!E:E,A443))</f>
        <v/>
      </c>
      <c r="K443">
        <f>IF(A443="","",F443-J443)</f>
        <v/>
      </c>
      <c r="L443">
        <f>IF(A443="","",IF(F443=0,"",(E443*F443+I443)/F443))</f>
        <v/>
      </c>
      <c r="M443">
        <f>IF(A443="","",IF(K443&lt;=0,"Sold Out","Active"))</f>
        <v/>
      </c>
    </row>
    <row r="444">
      <c r="I444">
        <f>IF(A444="","",SUMIFS(Expenses!D:D,Expenses!B:B,A444))</f>
        <v/>
      </c>
      <c r="J444">
        <f>IF(A444="","",SUMIFS(Sales!F:F,Sales!E:E,A444))</f>
        <v/>
      </c>
      <c r="K444">
        <f>IF(A444="","",F444-J444)</f>
        <v/>
      </c>
      <c r="L444">
        <f>IF(A444="","",IF(F444=0,"",(E444*F444+I444)/F444))</f>
        <v/>
      </c>
      <c r="M444">
        <f>IF(A444="","",IF(K444&lt;=0,"Sold Out","Active"))</f>
        <v/>
      </c>
    </row>
    <row r="445">
      <c r="I445">
        <f>IF(A445="","",SUMIFS(Expenses!D:D,Expenses!B:B,A445))</f>
        <v/>
      </c>
      <c r="J445">
        <f>IF(A445="","",SUMIFS(Sales!F:F,Sales!E:E,A445))</f>
        <v/>
      </c>
      <c r="K445">
        <f>IF(A445="","",F445-J445)</f>
        <v/>
      </c>
      <c r="L445">
        <f>IF(A445="","",IF(F445=0,"",(E445*F445+I445)/F445))</f>
        <v/>
      </c>
      <c r="M445">
        <f>IF(A445="","",IF(K445&lt;=0,"Sold Out","Active"))</f>
        <v/>
      </c>
    </row>
    <row r="446">
      <c r="I446">
        <f>IF(A446="","",SUMIFS(Expenses!D:D,Expenses!B:B,A446))</f>
        <v/>
      </c>
      <c r="J446">
        <f>IF(A446="","",SUMIFS(Sales!F:F,Sales!E:E,A446))</f>
        <v/>
      </c>
      <c r="K446">
        <f>IF(A446="","",F446-J446)</f>
        <v/>
      </c>
      <c r="L446">
        <f>IF(A446="","",IF(F446=0,"",(E446*F446+I446)/F446))</f>
        <v/>
      </c>
      <c r="M446">
        <f>IF(A446="","",IF(K446&lt;=0,"Sold Out","Active"))</f>
        <v/>
      </c>
    </row>
    <row r="447">
      <c r="I447">
        <f>IF(A447="","",SUMIFS(Expenses!D:D,Expenses!B:B,A447))</f>
        <v/>
      </c>
      <c r="J447">
        <f>IF(A447="","",SUMIFS(Sales!F:F,Sales!E:E,A447))</f>
        <v/>
      </c>
      <c r="K447">
        <f>IF(A447="","",F447-J447)</f>
        <v/>
      </c>
      <c r="L447">
        <f>IF(A447="","",IF(F447=0,"",(E447*F447+I447)/F447))</f>
        <v/>
      </c>
      <c r="M447">
        <f>IF(A447="","",IF(K447&lt;=0,"Sold Out","Active"))</f>
        <v/>
      </c>
    </row>
    <row r="448">
      <c r="I448">
        <f>IF(A448="","",SUMIFS(Expenses!D:D,Expenses!B:B,A448))</f>
        <v/>
      </c>
      <c r="J448">
        <f>IF(A448="","",SUMIFS(Sales!F:F,Sales!E:E,A448))</f>
        <v/>
      </c>
      <c r="K448">
        <f>IF(A448="","",F448-J448)</f>
        <v/>
      </c>
      <c r="L448">
        <f>IF(A448="","",IF(F448=0,"",(E448*F448+I448)/F448))</f>
        <v/>
      </c>
      <c r="M448">
        <f>IF(A448="","",IF(K448&lt;=0,"Sold Out","Active"))</f>
        <v/>
      </c>
    </row>
    <row r="449">
      <c r="I449">
        <f>IF(A449="","",SUMIFS(Expenses!D:D,Expenses!B:B,A449))</f>
        <v/>
      </c>
      <c r="J449">
        <f>IF(A449="","",SUMIFS(Sales!F:F,Sales!E:E,A449))</f>
        <v/>
      </c>
      <c r="K449">
        <f>IF(A449="","",F449-J449)</f>
        <v/>
      </c>
      <c r="L449">
        <f>IF(A449="","",IF(F449=0,"",(E449*F449+I449)/F449))</f>
        <v/>
      </c>
      <c r="M449">
        <f>IF(A449="","",IF(K449&lt;=0,"Sold Out","Active"))</f>
        <v/>
      </c>
    </row>
    <row r="450">
      <c r="I450">
        <f>IF(A450="","",SUMIFS(Expenses!D:D,Expenses!B:B,A450))</f>
        <v/>
      </c>
      <c r="J450">
        <f>IF(A450="","",SUMIFS(Sales!F:F,Sales!E:E,A450))</f>
        <v/>
      </c>
      <c r="K450">
        <f>IF(A450="","",F450-J450)</f>
        <v/>
      </c>
      <c r="L450">
        <f>IF(A450="","",IF(F450=0,"",(E450*F450+I450)/F450))</f>
        <v/>
      </c>
      <c r="M450">
        <f>IF(A450="","",IF(K450&lt;=0,"Sold Out","Active"))</f>
        <v/>
      </c>
    </row>
    <row r="451">
      <c r="I451">
        <f>IF(A451="","",SUMIFS(Expenses!D:D,Expenses!B:B,A451))</f>
        <v/>
      </c>
      <c r="J451">
        <f>IF(A451="","",SUMIFS(Sales!F:F,Sales!E:E,A451))</f>
        <v/>
      </c>
      <c r="K451">
        <f>IF(A451="","",F451-J451)</f>
        <v/>
      </c>
      <c r="L451">
        <f>IF(A451="","",IF(F451=0,"",(E451*F451+I451)/F451))</f>
        <v/>
      </c>
      <c r="M451">
        <f>IF(A451="","",IF(K451&lt;=0,"Sold Out","Active"))</f>
        <v/>
      </c>
    </row>
    <row r="452">
      <c r="I452">
        <f>IF(A452="","",SUMIFS(Expenses!D:D,Expenses!B:B,A452))</f>
        <v/>
      </c>
      <c r="J452">
        <f>IF(A452="","",SUMIFS(Sales!F:F,Sales!E:E,A452))</f>
        <v/>
      </c>
      <c r="K452">
        <f>IF(A452="","",F452-J452)</f>
        <v/>
      </c>
      <c r="L452">
        <f>IF(A452="","",IF(F452=0,"",(E452*F452+I452)/F452))</f>
        <v/>
      </c>
      <c r="M452">
        <f>IF(A452="","",IF(K452&lt;=0,"Sold Out","Active"))</f>
        <v/>
      </c>
    </row>
    <row r="453">
      <c r="I453">
        <f>IF(A453="","",SUMIFS(Expenses!D:D,Expenses!B:B,A453))</f>
        <v/>
      </c>
      <c r="J453">
        <f>IF(A453="","",SUMIFS(Sales!F:F,Sales!E:E,A453))</f>
        <v/>
      </c>
      <c r="K453">
        <f>IF(A453="","",F453-J453)</f>
        <v/>
      </c>
      <c r="L453">
        <f>IF(A453="","",IF(F453=0,"",(E453*F453+I453)/F453))</f>
        <v/>
      </c>
      <c r="M453">
        <f>IF(A453="","",IF(K453&lt;=0,"Sold Out","Active"))</f>
        <v/>
      </c>
    </row>
    <row r="454">
      <c r="I454">
        <f>IF(A454="","",SUMIFS(Expenses!D:D,Expenses!B:B,A454))</f>
        <v/>
      </c>
      <c r="J454">
        <f>IF(A454="","",SUMIFS(Sales!F:F,Sales!E:E,A454))</f>
        <v/>
      </c>
      <c r="K454">
        <f>IF(A454="","",F454-J454)</f>
        <v/>
      </c>
      <c r="L454">
        <f>IF(A454="","",IF(F454=0,"",(E454*F454+I454)/F454))</f>
        <v/>
      </c>
      <c r="M454">
        <f>IF(A454="","",IF(K454&lt;=0,"Sold Out","Active"))</f>
        <v/>
      </c>
    </row>
    <row r="455">
      <c r="I455">
        <f>IF(A455="","",SUMIFS(Expenses!D:D,Expenses!B:B,A455))</f>
        <v/>
      </c>
      <c r="J455">
        <f>IF(A455="","",SUMIFS(Sales!F:F,Sales!E:E,A455))</f>
        <v/>
      </c>
      <c r="K455">
        <f>IF(A455="","",F455-J455)</f>
        <v/>
      </c>
      <c r="L455">
        <f>IF(A455="","",IF(F455=0,"",(E455*F455+I455)/F455))</f>
        <v/>
      </c>
      <c r="M455">
        <f>IF(A455="","",IF(K455&lt;=0,"Sold Out","Active"))</f>
        <v/>
      </c>
    </row>
    <row r="456">
      <c r="I456">
        <f>IF(A456="","",SUMIFS(Expenses!D:D,Expenses!B:B,A456))</f>
        <v/>
      </c>
      <c r="J456">
        <f>IF(A456="","",SUMIFS(Sales!F:F,Sales!E:E,A456))</f>
        <v/>
      </c>
      <c r="K456">
        <f>IF(A456="","",F456-J456)</f>
        <v/>
      </c>
      <c r="L456">
        <f>IF(A456="","",IF(F456=0,"",(E456*F456+I456)/F456))</f>
        <v/>
      </c>
      <c r="M456">
        <f>IF(A456="","",IF(K456&lt;=0,"Sold Out","Active"))</f>
        <v/>
      </c>
    </row>
    <row r="457">
      <c r="I457">
        <f>IF(A457="","",SUMIFS(Expenses!D:D,Expenses!B:B,A457))</f>
        <v/>
      </c>
      <c r="J457">
        <f>IF(A457="","",SUMIFS(Sales!F:F,Sales!E:E,A457))</f>
        <v/>
      </c>
      <c r="K457">
        <f>IF(A457="","",F457-J457)</f>
        <v/>
      </c>
      <c r="L457">
        <f>IF(A457="","",IF(F457=0,"",(E457*F457+I457)/F457))</f>
        <v/>
      </c>
      <c r="M457">
        <f>IF(A457="","",IF(K457&lt;=0,"Sold Out","Active"))</f>
        <v/>
      </c>
    </row>
    <row r="458">
      <c r="I458">
        <f>IF(A458="","",SUMIFS(Expenses!D:D,Expenses!B:B,A458))</f>
        <v/>
      </c>
      <c r="J458">
        <f>IF(A458="","",SUMIFS(Sales!F:F,Sales!E:E,A458))</f>
        <v/>
      </c>
      <c r="K458">
        <f>IF(A458="","",F458-J458)</f>
        <v/>
      </c>
      <c r="L458">
        <f>IF(A458="","",IF(F458=0,"",(E458*F458+I458)/F458))</f>
        <v/>
      </c>
      <c r="M458">
        <f>IF(A458="","",IF(K458&lt;=0,"Sold Out","Active"))</f>
        <v/>
      </c>
    </row>
    <row r="459">
      <c r="I459">
        <f>IF(A459="","",SUMIFS(Expenses!D:D,Expenses!B:B,A459))</f>
        <v/>
      </c>
      <c r="J459">
        <f>IF(A459="","",SUMIFS(Sales!F:F,Sales!E:E,A459))</f>
        <v/>
      </c>
      <c r="K459">
        <f>IF(A459="","",F459-J459)</f>
        <v/>
      </c>
      <c r="L459">
        <f>IF(A459="","",IF(F459=0,"",(E459*F459+I459)/F459))</f>
        <v/>
      </c>
      <c r="M459">
        <f>IF(A459="","",IF(K459&lt;=0,"Sold Out","Active"))</f>
        <v/>
      </c>
    </row>
    <row r="460">
      <c r="I460">
        <f>IF(A460="","",SUMIFS(Expenses!D:D,Expenses!B:B,A460))</f>
        <v/>
      </c>
      <c r="J460">
        <f>IF(A460="","",SUMIFS(Sales!F:F,Sales!E:E,A460))</f>
        <v/>
      </c>
      <c r="K460">
        <f>IF(A460="","",F460-J460)</f>
        <v/>
      </c>
      <c r="L460">
        <f>IF(A460="","",IF(F460=0,"",(E460*F460+I460)/F460))</f>
        <v/>
      </c>
      <c r="M460">
        <f>IF(A460="","",IF(K460&lt;=0,"Sold Out","Active"))</f>
        <v/>
      </c>
    </row>
    <row r="461">
      <c r="I461">
        <f>IF(A461="","",SUMIFS(Expenses!D:D,Expenses!B:B,A461))</f>
        <v/>
      </c>
      <c r="J461">
        <f>IF(A461="","",SUMIFS(Sales!F:F,Sales!E:E,A461))</f>
        <v/>
      </c>
      <c r="K461">
        <f>IF(A461="","",F461-J461)</f>
        <v/>
      </c>
      <c r="L461">
        <f>IF(A461="","",IF(F461=0,"",(E461*F461+I461)/F461))</f>
        <v/>
      </c>
      <c r="M461">
        <f>IF(A461="","",IF(K461&lt;=0,"Sold Out","Active"))</f>
        <v/>
      </c>
    </row>
    <row r="462">
      <c r="I462">
        <f>IF(A462="","",SUMIFS(Expenses!D:D,Expenses!B:B,A462))</f>
        <v/>
      </c>
      <c r="J462">
        <f>IF(A462="","",SUMIFS(Sales!F:F,Sales!E:E,A462))</f>
        <v/>
      </c>
      <c r="K462">
        <f>IF(A462="","",F462-J462)</f>
        <v/>
      </c>
      <c r="L462">
        <f>IF(A462="","",IF(F462=0,"",(E462*F462+I462)/F462))</f>
        <v/>
      </c>
      <c r="M462">
        <f>IF(A462="","",IF(K462&lt;=0,"Sold Out","Active"))</f>
        <v/>
      </c>
    </row>
    <row r="463">
      <c r="I463">
        <f>IF(A463="","",SUMIFS(Expenses!D:D,Expenses!B:B,A463))</f>
        <v/>
      </c>
      <c r="J463">
        <f>IF(A463="","",SUMIFS(Sales!F:F,Sales!E:E,A463))</f>
        <v/>
      </c>
      <c r="K463">
        <f>IF(A463="","",F463-J463)</f>
        <v/>
      </c>
      <c r="L463">
        <f>IF(A463="","",IF(F463=0,"",(E463*F463+I463)/F463))</f>
        <v/>
      </c>
      <c r="M463">
        <f>IF(A463="","",IF(K463&lt;=0,"Sold Out","Active"))</f>
        <v/>
      </c>
    </row>
    <row r="464">
      <c r="I464">
        <f>IF(A464="","",SUMIFS(Expenses!D:D,Expenses!B:B,A464))</f>
        <v/>
      </c>
      <c r="J464">
        <f>IF(A464="","",SUMIFS(Sales!F:F,Sales!E:E,A464))</f>
        <v/>
      </c>
      <c r="K464">
        <f>IF(A464="","",F464-J464)</f>
        <v/>
      </c>
      <c r="L464">
        <f>IF(A464="","",IF(F464=0,"",(E464*F464+I464)/F464))</f>
        <v/>
      </c>
      <c r="M464">
        <f>IF(A464="","",IF(K464&lt;=0,"Sold Out","Active"))</f>
        <v/>
      </c>
    </row>
    <row r="465">
      <c r="I465">
        <f>IF(A465="","",SUMIFS(Expenses!D:D,Expenses!B:B,A465))</f>
        <v/>
      </c>
      <c r="J465">
        <f>IF(A465="","",SUMIFS(Sales!F:F,Sales!E:E,A465))</f>
        <v/>
      </c>
      <c r="K465">
        <f>IF(A465="","",F465-J465)</f>
        <v/>
      </c>
      <c r="L465">
        <f>IF(A465="","",IF(F465=0,"",(E465*F465+I465)/F465))</f>
        <v/>
      </c>
      <c r="M465">
        <f>IF(A465="","",IF(K465&lt;=0,"Sold Out","Active"))</f>
        <v/>
      </c>
    </row>
    <row r="466">
      <c r="I466">
        <f>IF(A466="","",SUMIFS(Expenses!D:D,Expenses!B:B,A466))</f>
        <v/>
      </c>
      <c r="J466">
        <f>IF(A466="","",SUMIFS(Sales!F:F,Sales!E:E,A466))</f>
        <v/>
      </c>
      <c r="K466">
        <f>IF(A466="","",F466-J466)</f>
        <v/>
      </c>
      <c r="L466">
        <f>IF(A466="","",IF(F466=0,"",(E466*F466+I466)/F466))</f>
        <v/>
      </c>
      <c r="M466">
        <f>IF(A466="","",IF(K466&lt;=0,"Sold Out","Active"))</f>
        <v/>
      </c>
    </row>
    <row r="467">
      <c r="I467">
        <f>IF(A467="","",SUMIFS(Expenses!D:D,Expenses!B:B,A467))</f>
        <v/>
      </c>
      <c r="J467">
        <f>IF(A467="","",SUMIFS(Sales!F:F,Sales!E:E,A467))</f>
        <v/>
      </c>
      <c r="K467">
        <f>IF(A467="","",F467-J467)</f>
        <v/>
      </c>
      <c r="L467">
        <f>IF(A467="","",IF(F467=0,"",(E467*F467+I467)/F467))</f>
        <v/>
      </c>
      <c r="M467">
        <f>IF(A467="","",IF(K467&lt;=0,"Sold Out","Active"))</f>
        <v/>
      </c>
    </row>
    <row r="468">
      <c r="I468">
        <f>IF(A468="","",SUMIFS(Expenses!D:D,Expenses!B:B,A468))</f>
        <v/>
      </c>
      <c r="J468">
        <f>IF(A468="","",SUMIFS(Sales!F:F,Sales!E:E,A468))</f>
        <v/>
      </c>
      <c r="K468">
        <f>IF(A468="","",F468-J468)</f>
        <v/>
      </c>
      <c r="L468">
        <f>IF(A468="","",IF(F468=0,"",(E468*F468+I468)/F468))</f>
        <v/>
      </c>
      <c r="M468">
        <f>IF(A468="","",IF(K468&lt;=0,"Sold Out","Active"))</f>
        <v/>
      </c>
    </row>
    <row r="469">
      <c r="I469">
        <f>IF(A469="","",SUMIFS(Expenses!D:D,Expenses!B:B,A469))</f>
        <v/>
      </c>
      <c r="J469">
        <f>IF(A469="","",SUMIFS(Sales!F:F,Sales!E:E,A469))</f>
        <v/>
      </c>
      <c r="K469">
        <f>IF(A469="","",F469-J469)</f>
        <v/>
      </c>
      <c r="L469">
        <f>IF(A469="","",IF(F469=0,"",(E469*F469+I469)/F469))</f>
        <v/>
      </c>
      <c r="M469">
        <f>IF(A469="","",IF(K469&lt;=0,"Sold Out","Active"))</f>
        <v/>
      </c>
    </row>
    <row r="470">
      <c r="I470">
        <f>IF(A470="","",SUMIFS(Expenses!D:D,Expenses!B:B,A470))</f>
        <v/>
      </c>
      <c r="J470">
        <f>IF(A470="","",SUMIFS(Sales!F:F,Sales!E:E,A470))</f>
        <v/>
      </c>
      <c r="K470">
        <f>IF(A470="","",F470-J470)</f>
        <v/>
      </c>
      <c r="L470">
        <f>IF(A470="","",IF(F470=0,"",(E470*F470+I470)/F470))</f>
        <v/>
      </c>
      <c r="M470">
        <f>IF(A470="","",IF(K470&lt;=0,"Sold Out","Active"))</f>
        <v/>
      </c>
    </row>
    <row r="471">
      <c r="I471">
        <f>IF(A471="","",SUMIFS(Expenses!D:D,Expenses!B:B,A471))</f>
        <v/>
      </c>
      <c r="J471">
        <f>IF(A471="","",SUMIFS(Sales!F:F,Sales!E:E,A471))</f>
        <v/>
      </c>
      <c r="K471">
        <f>IF(A471="","",F471-J471)</f>
        <v/>
      </c>
      <c r="L471">
        <f>IF(A471="","",IF(F471=0,"",(E471*F471+I471)/F471))</f>
        <v/>
      </c>
      <c r="M471">
        <f>IF(A471="","",IF(K471&lt;=0,"Sold Out","Active"))</f>
        <v/>
      </c>
    </row>
    <row r="472">
      <c r="I472">
        <f>IF(A472="","",SUMIFS(Expenses!D:D,Expenses!B:B,A472))</f>
        <v/>
      </c>
      <c r="J472">
        <f>IF(A472="","",SUMIFS(Sales!F:F,Sales!E:E,A472))</f>
        <v/>
      </c>
      <c r="K472">
        <f>IF(A472="","",F472-J472)</f>
        <v/>
      </c>
      <c r="L472">
        <f>IF(A472="","",IF(F472=0,"",(E472*F472+I472)/F472))</f>
        <v/>
      </c>
      <c r="M472">
        <f>IF(A472="","",IF(K472&lt;=0,"Sold Out","Active"))</f>
        <v/>
      </c>
    </row>
    <row r="473">
      <c r="I473">
        <f>IF(A473="","",SUMIFS(Expenses!D:D,Expenses!B:B,A473))</f>
        <v/>
      </c>
      <c r="J473">
        <f>IF(A473="","",SUMIFS(Sales!F:F,Sales!E:E,A473))</f>
        <v/>
      </c>
      <c r="K473">
        <f>IF(A473="","",F473-J473)</f>
        <v/>
      </c>
      <c r="L473">
        <f>IF(A473="","",IF(F473=0,"",(E473*F473+I473)/F473))</f>
        <v/>
      </c>
      <c r="M473">
        <f>IF(A473="","",IF(K473&lt;=0,"Sold Out","Active"))</f>
        <v/>
      </c>
    </row>
    <row r="474">
      <c r="I474">
        <f>IF(A474="","",SUMIFS(Expenses!D:D,Expenses!B:B,A474))</f>
        <v/>
      </c>
      <c r="J474">
        <f>IF(A474="","",SUMIFS(Sales!F:F,Sales!E:E,A474))</f>
        <v/>
      </c>
      <c r="K474">
        <f>IF(A474="","",F474-J474)</f>
        <v/>
      </c>
      <c r="L474">
        <f>IF(A474="","",IF(F474=0,"",(E474*F474+I474)/F474))</f>
        <v/>
      </c>
      <c r="M474">
        <f>IF(A474="","",IF(K474&lt;=0,"Sold Out","Active"))</f>
        <v/>
      </c>
    </row>
    <row r="475">
      <c r="I475">
        <f>IF(A475="","",SUMIFS(Expenses!D:D,Expenses!B:B,A475))</f>
        <v/>
      </c>
      <c r="J475">
        <f>IF(A475="","",SUMIFS(Sales!F:F,Sales!E:E,A475))</f>
        <v/>
      </c>
      <c r="K475">
        <f>IF(A475="","",F475-J475)</f>
        <v/>
      </c>
      <c r="L475">
        <f>IF(A475="","",IF(F475=0,"",(E475*F475+I475)/F475))</f>
        <v/>
      </c>
      <c r="M475">
        <f>IF(A475="","",IF(K475&lt;=0,"Sold Out","Active"))</f>
        <v/>
      </c>
    </row>
    <row r="476">
      <c r="I476">
        <f>IF(A476="","",SUMIFS(Expenses!D:D,Expenses!B:B,A476))</f>
        <v/>
      </c>
      <c r="J476">
        <f>IF(A476="","",SUMIFS(Sales!F:F,Sales!E:E,A476))</f>
        <v/>
      </c>
      <c r="K476">
        <f>IF(A476="","",F476-J476)</f>
        <v/>
      </c>
      <c r="L476">
        <f>IF(A476="","",IF(F476=0,"",(E476*F476+I476)/F476))</f>
        <v/>
      </c>
      <c r="M476">
        <f>IF(A476="","",IF(K476&lt;=0,"Sold Out","Active"))</f>
        <v/>
      </c>
    </row>
    <row r="477">
      <c r="I477">
        <f>IF(A477="","",SUMIFS(Expenses!D:D,Expenses!B:B,A477))</f>
        <v/>
      </c>
      <c r="J477">
        <f>IF(A477="","",SUMIFS(Sales!F:F,Sales!E:E,A477))</f>
        <v/>
      </c>
      <c r="K477">
        <f>IF(A477="","",F477-J477)</f>
        <v/>
      </c>
      <c r="L477">
        <f>IF(A477="","",IF(F477=0,"",(E477*F477+I477)/F477))</f>
        <v/>
      </c>
      <c r="M477">
        <f>IF(A477="","",IF(K477&lt;=0,"Sold Out","Active"))</f>
        <v/>
      </c>
    </row>
    <row r="478">
      <c r="I478">
        <f>IF(A478="","",SUMIFS(Expenses!D:D,Expenses!B:B,A478))</f>
        <v/>
      </c>
      <c r="J478">
        <f>IF(A478="","",SUMIFS(Sales!F:F,Sales!E:E,A478))</f>
        <v/>
      </c>
      <c r="K478">
        <f>IF(A478="","",F478-J478)</f>
        <v/>
      </c>
      <c r="L478">
        <f>IF(A478="","",IF(F478=0,"",(E478*F478+I478)/F478))</f>
        <v/>
      </c>
      <c r="M478">
        <f>IF(A478="","",IF(K478&lt;=0,"Sold Out","Active"))</f>
        <v/>
      </c>
    </row>
    <row r="479">
      <c r="I479">
        <f>IF(A479="","",SUMIFS(Expenses!D:D,Expenses!B:B,A479))</f>
        <v/>
      </c>
      <c r="J479">
        <f>IF(A479="","",SUMIFS(Sales!F:F,Sales!E:E,A479))</f>
        <v/>
      </c>
      <c r="K479">
        <f>IF(A479="","",F479-J479)</f>
        <v/>
      </c>
      <c r="L479">
        <f>IF(A479="","",IF(F479=0,"",(E479*F479+I479)/F479))</f>
        <v/>
      </c>
      <c r="M479">
        <f>IF(A479="","",IF(K479&lt;=0,"Sold Out","Active"))</f>
        <v/>
      </c>
    </row>
    <row r="480">
      <c r="I480">
        <f>IF(A480="","",SUMIFS(Expenses!D:D,Expenses!B:B,A480))</f>
        <v/>
      </c>
      <c r="J480">
        <f>IF(A480="","",SUMIFS(Sales!F:F,Sales!E:E,A480))</f>
        <v/>
      </c>
      <c r="K480">
        <f>IF(A480="","",F480-J480)</f>
        <v/>
      </c>
      <c r="L480">
        <f>IF(A480="","",IF(F480=0,"",(E480*F480+I480)/F480))</f>
        <v/>
      </c>
      <c r="M480">
        <f>IF(A480="","",IF(K480&lt;=0,"Sold Out","Active"))</f>
        <v/>
      </c>
    </row>
    <row r="481">
      <c r="I481">
        <f>IF(A481="","",SUMIFS(Expenses!D:D,Expenses!B:B,A481))</f>
        <v/>
      </c>
      <c r="J481">
        <f>IF(A481="","",SUMIFS(Sales!F:F,Sales!E:E,A481))</f>
        <v/>
      </c>
      <c r="K481">
        <f>IF(A481="","",F481-J481)</f>
        <v/>
      </c>
      <c r="L481">
        <f>IF(A481="","",IF(F481=0,"",(E481*F481+I481)/F481))</f>
        <v/>
      </c>
      <c r="M481">
        <f>IF(A481="","",IF(K481&lt;=0,"Sold Out","Active"))</f>
        <v/>
      </c>
    </row>
    <row r="482">
      <c r="I482">
        <f>IF(A482="","",SUMIFS(Expenses!D:D,Expenses!B:B,A482))</f>
        <v/>
      </c>
      <c r="J482">
        <f>IF(A482="","",SUMIFS(Sales!F:F,Sales!E:E,A482))</f>
        <v/>
      </c>
      <c r="K482">
        <f>IF(A482="","",F482-J482)</f>
        <v/>
      </c>
      <c r="L482">
        <f>IF(A482="","",IF(F482=0,"",(E482*F482+I482)/F482))</f>
        <v/>
      </c>
      <c r="M482">
        <f>IF(A482="","",IF(K482&lt;=0,"Sold Out","Active"))</f>
        <v/>
      </c>
    </row>
    <row r="483">
      <c r="I483">
        <f>IF(A483="","",SUMIFS(Expenses!D:D,Expenses!B:B,A483))</f>
        <v/>
      </c>
      <c r="J483">
        <f>IF(A483="","",SUMIFS(Sales!F:F,Sales!E:E,A483))</f>
        <v/>
      </c>
      <c r="K483">
        <f>IF(A483="","",F483-J483)</f>
        <v/>
      </c>
      <c r="L483">
        <f>IF(A483="","",IF(F483=0,"",(E483*F483+I483)/F483))</f>
        <v/>
      </c>
      <c r="M483">
        <f>IF(A483="","",IF(K483&lt;=0,"Sold Out","Active"))</f>
        <v/>
      </c>
    </row>
    <row r="484">
      <c r="I484">
        <f>IF(A484="","",SUMIFS(Expenses!D:D,Expenses!B:B,A484))</f>
        <v/>
      </c>
      <c r="J484">
        <f>IF(A484="","",SUMIFS(Sales!F:F,Sales!E:E,A484))</f>
        <v/>
      </c>
      <c r="K484">
        <f>IF(A484="","",F484-J484)</f>
        <v/>
      </c>
      <c r="L484">
        <f>IF(A484="","",IF(F484=0,"",(E484*F484+I484)/F484))</f>
        <v/>
      </c>
      <c r="M484">
        <f>IF(A484="","",IF(K484&lt;=0,"Sold Out","Active"))</f>
        <v/>
      </c>
    </row>
    <row r="485">
      <c r="I485">
        <f>IF(A485="","",SUMIFS(Expenses!D:D,Expenses!B:B,A485))</f>
        <v/>
      </c>
      <c r="J485">
        <f>IF(A485="","",SUMIFS(Sales!F:F,Sales!E:E,A485))</f>
        <v/>
      </c>
      <c r="K485">
        <f>IF(A485="","",F485-J485)</f>
        <v/>
      </c>
      <c r="L485">
        <f>IF(A485="","",IF(F485=0,"",(E485*F485+I485)/F485))</f>
        <v/>
      </c>
      <c r="M485">
        <f>IF(A485="","",IF(K485&lt;=0,"Sold Out","Active"))</f>
        <v/>
      </c>
    </row>
    <row r="486">
      <c r="I486">
        <f>IF(A486="","",SUMIFS(Expenses!D:D,Expenses!B:B,A486))</f>
        <v/>
      </c>
      <c r="J486">
        <f>IF(A486="","",SUMIFS(Sales!F:F,Sales!E:E,A486))</f>
        <v/>
      </c>
      <c r="K486">
        <f>IF(A486="","",F486-J486)</f>
        <v/>
      </c>
      <c r="L486">
        <f>IF(A486="","",IF(F486=0,"",(E486*F486+I486)/F486))</f>
        <v/>
      </c>
      <c r="M486">
        <f>IF(A486="","",IF(K486&lt;=0,"Sold Out","Active"))</f>
        <v/>
      </c>
    </row>
    <row r="487">
      <c r="I487">
        <f>IF(A487="","",SUMIFS(Expenses!D:D,Expenses!B:B,A487))</f>
        <v/>
      </c>
      <c r="J487">
        <f>IF(A487="","",SUMIFS(Sales!F:F,Sales!E:E,A487))</f>
        <v/>
      </c>
      <c r="K487">
        <f>IF(A487="","",F487-J487)</f>
        <v/>
      </c>
      <c r="L487">
        <f>IF(A487="","",IF(F487=0,"",(E487*F487+I487)/F487))</f>
        <v/>
      </c>
      <c r="M487">
        <f>IF(A487="","",IF(K487&lt;=0,"Sold Out","Active"))</f>
        <v/>
      </c>
    </row>
    <row r="488">
      <c r="I488">
        <f>IF(A488="","",SUMIFS(Expenses!D:D,Expenses!B:B,A488))</f>
        <v/>
      </c>
      <c r="J488">
        <f>IF(A488="","",SUMIFS(Sales!F:F,Sales!E:E,A488))</f>
        <v/>
      </c>
      <c r="K488">
        <f>IF(A488="","",F488-J488)</f>
        <v/>
      </c>
      <c r="L488">
        <f>IF(A488="","",IF(F488=0,"",(E488*F488+I488)/F488))</f>
        <v/>
      </c>
      <c r="M488">
        <f>IF(A488="","",IF(K488&lt;=0,"Sold Out","Active"))</f>
        <v/>
      </c>
    </row>
    <row r="489">
      <c r="I489">
        <f>IF(A489="","",SUMIFS(Expenses!D:D,Expenses!B:B,A489))</f>
        <v/>
      </c>
      <c r="J489">
        <f>IF(A489="","",SUMIFS(Sales!F:F,Sales!E:E,A489))</f>
        <v/>
      </c>
      <c r="K489">
        <f>IF(A489="","",F489-J489)</f>
        <v/>
      </c>
      <c r="L489">
        <f>IF(A489="","",IF(F489=0,"",(E489*F489+I489)/F489))</f>
        <v/>
      </c>
      <c r="M489">
        <f>IF(A489="","",IF(K489&lt;=0,"Sold Out","Active"))</f>
        <v/>
      </c>
    </row>
    <row r="490">
      <c r="I490">
        <f>IF(A490="","",SUMIFS(Expenses!D:D,Expenses!B:B,A490))</f>
        <v/>
      </c>
      <c r="J490">
        <f>IF(A490="","",SUMIFS(Sales!F:F,Sales!E:E,A490))</f>
        <v/>
      </c>
      <c r="K490">
        <f>IF(A490="","",F490-J490)</f>
        <v/>
      </c>
      <c r="L490">
        <f>IF(A490="","",IF(F490=0,"",(E490*F490+I490)/F490))</f>
        <v/>
      </c>
      <c r="M490">
        <f>IF(A490="","",IF(K490&lt;=0,"Sold Out","Active"))</f>
        <v/>
      </c>
    </row>
    <row r="491">
      <c r="I491">
        <f>IF(A491="","",SUMIFS(Expenses!D:D,Expenses!B:B,A491))</f>
        <v/>
      </c>
      <c r="J491">
        <f>IF(A491="","",SUMIFS(Sales!F:F,Sales!E:E,A491))</f>
        <v/>
      </c>
      <c r="K491">
        <f>IF(A491="","",F491-J491)</f>
        <v/>
      </c>
      <c r="L491">
        <f>IF(A491="","",IF(F491=0,"",(E491*F491+I491)/F491))</f>
        <v/>
      </c>
      <c r="M491">
        <f>IF(A491="","",IF(K491&lt;=0,"Sold Out","Active"))</f>
        <v/>
      </c>
    </row>
    <row r="492">
      <c r="I492">
        <f>IF(A492="","",SUMIFS(Expenses!D:D,Expenses!B:B,A492))</f>
        <v/>
      </c>
      <c r="J492">
        <f>IF(A492="","",SUMIFS(Sales!F:F,Sales!E:E,A492))</f>
        <v/>
      </c>
      <c r="K492">
        <f>IF(A492="","",F492-J492)</f>
        <v/>
      </c>
      <c r="L492">
        <f>IF(A492="","",IF(F492=0,"",(E492*F492+I492)/F492))</f>
        <v/>
      </c>
      <c r="M492">
        <f>IF(A492="","",IF(K492&lt;=0,"Sold Out","Active"))</f>
        <v/>
      </c>
    </row>
    <row r="493">
      <c r="I493">
        <f>IF(A493="","",SUMIFS(Expenses!D:D,Expenses!B:B,A493))</f>
        <v/>
      </c>
      <c r="J493">
        <f>IF(A493="","",SUMIFS(Sales!F:F,Sales!E:E,A493))</f>
        <v/>
      </c>
      <c r="K493">
        <f>IF(A493="","",F493-J493)</f>
        <v/>
      </c>
      <c r="L493">
        <f>IF(A493="","",IF(F493=0,"",(E493*F493+I493)/F493))</f>
        <v/>
      </c>
      <c r="M493">
        <f>IF(A493="","",IF(K493&lt;=0,"Sold Out","Active"))</f>
        <v/>
      </c>
    </row>
    <row r="494">
      <c r="I494">
        <f>IF(A494="","",SUMIFS(Expenses!D:D,Expenses!B:B,A494))</f>
        <v/>
      </c>
      <c r="J494">
        <f>IF(A494="","",SUMIFS(Sales!F:F,Sales!E:E,A494))</f>
        <v/>
      </c>
      <c r="K494">
        <f>IF(A494="","",F494-J494)</f>
        <v/>
      </c>
      <c r="L494">
        <f>IF(A494="","",IF(F494=0,"",(E494*F494+I494)/F494))</f>
        <v/>
      </c>
      <c r="M494">
        <f>IF(A494="","",IF(K494&lt;=0,"Sold Out","Active"))</f>
        <v/>
      </c>
    </row>
    <row r="495">
      <c r="I495">
        <f>IF(A495="","",SUMIFS(Expenses!D:D,Expenses!B:B,A495))</f>
        <v/>
      </c>
      <c r="J495">
        <f>IF(A495="","",SUMIFS(Sales!F:F,Sales!E:E,A495))</f>
        <v/>
      </c>
      <c r="K495">
        <f>IF(A495="","",F495-J495)</f>
        <v/>
      </c>
      <c r="L495">
        <f>IF(A495="","",IF(F495=0,"",(E495*F495+I495)/F495))</f>
        <v/>
      </c>
      <c r="M495">
        <f>IF(A495="","",IF(K495&lt;=0,"Sold Out","Active"))</f>
        <v/>
      </c>
    </row>
    <row r="496">
      <c r="I496">
        <f>IF(A496="","",SUMIFS(Expenses!D:D,Expenses!B:B,A496))</f>
        <v/>
      </c>
      <c r="J496">
        <f>IF(A496="","",SUMIFS(Sales!F:F,Sales!E:E,A496))</f>
        <v/>
      </c>
      <c r="K496">
        <f>IF(A496="","",F496-J496)</f>
        <v/>
      </c>
      <c r="L496">
        <f>IF(A496="","",IF(F496=0,"",(E496*F496+I496)/F496))</f>
        <v/>
      </c>
      <c r="M496">
        <f>IF(A496="","",IF(K496&lt;=0,"Sold Out","Active"))</f>
        <v/>
      </c>
    </row>
    <row r="497">
      <c r="I497">
        <f>IF(A497="","",SUMIFS(Expenses!D:D,Expenses!B:B,A497))</f>
        <v/>
      </c>
      <c r="J497">
        <f>IF(A497="","",SUMIFS(Sales!F:F,Sales!E:E,A497))</f>
        <v/>
      </c>
      <c r="K497">
        <f>IF(A497="","",F497-J497)</f>
        <v/>
      </c>
      <c r="L497">
        <f>IF(A497="","",IF(F497=0,"",(E497*F497+I497)/F497))</f>
        <v/>
      </c>
      <c r="M497">
        <f>IF(A497="","",IF(K497&lt;=0,"Sold Out","Active"))</f>
        <v/>
      </c>
    </row>
    <row r="498">
      <c r="I498">
        <f>IF(A498="","",SUMIFS(Expenses!D:D,Expenses!B:B,A498))</f>
        <v/>
      </c>
      <c r="J498">
        <f>IF(A498="","",SUMIFS(Sales!F:F,Sales!E:E,A498))</f>
        <v/>
      </c>
      <c r="K498">
        <f>IF(A498="","",F498-J498)</f>
        <v/>
      </c>
      <c r="L498">
        <f>IF(A498="","",IF(F498=0,"",(E498*F498+I498)/F498))</f>
        <v/>
      </c>
      <c r="M498">
        <f>IF(A498="","",IF(K498&lt;=0,"Sold Out","Active"))</f>
        <v/>
      </c>
    </row>
    <row r="499">
      <c r="I499">
        <f>IF(A499="","",SUMIFS(Expenses!D:D,Expenses!B:B,A499))</f>
        <v/>
      </c>
      <c r="J499">
        <f>IF(A499="","",SUMIFS(Sales!F:F,Sales!E:E,A499))</f>
        <v/>
      </c>
      <c r="K499">
        <f>IF(A499="","",F499-J499)</f>
        <v/>
      </c>
      <c r="L499">
        <f>IF(A499="","",IF(F499=0,"",(E499*F499+I499)/F499))</f>
        <v/>
      </c>
      <c r="M499">
        <f>IF(A499="","",IF(K499&lt;=0,"Sold Out","Active"))</f>
        <v/>
      </c>
    </row>
    <row r="500">
      <c r="I500">
        <f>IF(A500="","",SUMIFS(Expenses!D:D,Expenses!B:B,A500))</f>
        <v/>
      </c>
      <c r="J500">
        <f>IF(A500="","",SUMIFS(Sales!F:F,Sales!E:E,A500))</f>
        <v/>
      </c>
      <c r="K500">
        <f>IF(A500="","",F500-J500)</f>
        <v/>
      </c>
      <c r="L500">
        <f>IF(A500="","",IF(F500=0,"",(E500*F500+I500)/F500))</f>
        <v/>
      </c>
      <c r="M500">
        <f>IF(A500="","",IF(K500&lt;=0,"Sold Out","Active"))</f>
        <v/>
      </c>
    </row>
    <row r="501">
      <c r="I501">
        <f>IF(A501="","",SUMIFS(Expenses!D:D,Expenses!B:B,A501))</f>
        <v/>
      </c>
      <c r="J501">
        <f>IF(A501="","",SUMIFS(Sales!F:F,Sales!E:E,A501))</f>
        <v/>
      </c>
      <c r="K501">
        <f>IF(A501="","",F501-J501)</f>
        <v/>
      </c>
      <c r="L501">
        <f>IF(A501="","",IF(F501=0,"",(E501*F501+I501)/F501))</f>
        <v/>
      </c>
      <c r="M501">
        <f>IF(A501="","",IF(K501&lt;=0,"Sold Out","Active"))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22" customWidth="1" min="10" max="10"/>
    <col width="16" customWidth="1" min="11" max="11"/>
    <col width="14" customWidth="1" min="12" max="12"/>
  </cols>
  <sheetData>
    <row r="1">
      <c r="A1" s="2" t="inlineStr">
        <is>
          <t>Sale_ID</t>
        </is>
      </c>
      <c r="B1" s="2" t="inlineStr">
        <is>
          <t>Slice_No</t>
        </is>
      </c>
      <c r="C1" s="2" t="inlineStr">
        <is>
          <t>Sold_At</t>
        </is>
      </c>
      <c r="D1" s="2" t="inlineStr">
        <is>
          <t>Product_ID</t>
        </is>
      </c>
      <c r="E1" s="2" t="inlineStr">
        <is>
          <t>Lot_ID</t>
        </is>
      </c>
      <c r="F1" s="2" t="inlineStr">
        <is>
          <t>Qty</t>
        </is>
      </c>
      <c r="G1" s="2" t="inlineStr">
        <is>
          <t>Unit_Price</t>
        </is>
      </c>
      <c r="H1" s="2" t="inlineStr">
        <is>
          <t>Unit_Cost</t>
        </is>
      </c>
      <c r="I1" s="2" t="inlineStr">
        <is>
          <t>Payment</t>
        </is>
      </c>
      <c r="J1" s="2" t="inlineStr">
        <is>
          <t>Customer_Name</t>
        </is>
      </c>
      <c r="K1" s="2" t="inlineStr">
        <is>
          <t>Customer_Phone</t>
        </is>
      </c>
      <c r="L1" s="2" t="inlineStr">
        <is>
          <t>Total</t>
        </is>
      </c>
    </row>
    <row r="2">
      <c r="L2">
        <f>IF(A2="","",F2*G2)</f>
        <v/>
      </c>
    </row>
    <row r="3">
      <c r="L3">
        <f>IF(A3="","",F3*G3)</f>
        <v/>
      </c>
    </row>
    <row r="4">
      <c r="L4">
        <f>IF(A4="","",F4*G4)</f>
        <v/>
      </c>
    </row>
    <row r="5">
      <c r="L5">
        <f>IF(A5="","",F5*G5)</f>
        <v/>
      </c>
    </row>
    <row r="6">
      <c r="L6">
        <f>IF(A6="","",F6*G6)</f>
        <v/>
      </c>
    </row>
    <row r="7">
      <c r="L7">
        <f>IF(A7="","",F7*G7)</f>
        <v/>
      </c>
    </row>
    <row r="8">
      <c r="L8">
        <f>IF(A8="","",F8*G8)</f>
        <v/>
      </c>
    </row>
    <row r="9">
      <c r="L9">
        <f>IF(A9="","",F9*G9)</f>
        <v/>
      </c>
    </row>
    <row r="10">
      <c r="L10">
        <f>IF(A10="","",F10*G10)</f>
        <v/>
      </c>
    </row>
    <row r="11">
      <c r="L11">
        <f>IF(A11="","",F11*G11)</f>
        <v/>
      </c>
    </row>
    <row r="12">
      <c r="L12">
        <f>IF(A12="","",F12*G12)</f>
        <v/>
      </c>
    </row>
    <row r="13">
      <c r="L13">
        <f>IF(A13="","",F13*G13)</f>
        <v/>
      </c>
    </row>
    <row r="14">
      <c r="L14">
        <f>IF(A14="","",F14*G14)</f>
        <v/>
      </c>
    </row>
    <row r="15">
      <c r="L15">
        <f>IF(A15="","",F15*G15)</f>
        <v/>
      </c>
    </row>
    <row r="16">
      <c r="L16">
        <f>IF(A16="","",F16*G16)</f>
        <v/>
      </c>
    </row>
    <row r="17">
      <c r="L17">
        <f>IF(A17="","",F17*G17)</f>
        <v/>
      </c>
    </row>
    <row r="18">
      <c r="L18">
        <f>IF(A18="","",F18*G18)</f>
        <v/>
      </c>
    </row>
    <row r="19">
      <c r="L19">
        <f>IF(A19="","",F19*G19)</f>
        <v/>
      </c>
    </row>
    <row r="20">
      <c r="L20">
        <f>IF(A20="","",F20*G20)</f>
        <v/>
      </c>
    </row>
    <row r="21">
      <c r="L21">
        <f>IF(A21="","",F21*G21)</f>
        <v/>
      </c>
    </row>
    <row r="22">
      <c r="L22">
        <f>IF(A22="","",F22*G22)</f>
        <v/>
      </c>
    </row>
    <row r="23">
      <c r="L23">
        <f>IF(A23="","",F23*G23)</f>
        <v/>
      </c>
    </row>
    <row r="24">
      <c r="L24">
        <f>IF(A24="","",F24*G24)</f>
        <v/>
      </c>
    </row>
    <row r="25">
      <c r="L25">
        <f>IF(A25="","",F25*G25)</f>
        <v/>
      </c>
    </row>
    <row r="26">
      <c r="L26">
        <f>IF(A26="","",F26*G26)</f>
        <v/>
      </c>
    </row>
    <row r="27">
      <c r="L27">
        <f>IF(A27="","",F27*G27)</f>
        <v/>
      </c>
    </row>
    <row r="28">
      <c r="L28">
        <f>IF(A28="","",F28*G28)</f>
        <v/>
      </c>
    </row>
    <row r="29">
      <c r="L29">
        <f>IF(A29="","",F29*G29)</f>
        <v/>
      </c>
    </row>
    <row r="30">
      <c r="L30">
        <f>IF(A30="","",F30*G30)</f>
        <v/>
      </c>
    </row>
    <row r="31">
      <c r="L31">
        <f>IF(A31="","",F31*G31)</f>
        <v/>
      </c>
    </row>
    <row r="32">
      <c r="L32">
        <f>IF(A32="","",F32*G32)</f>
        <v/>
      </c>
    </row>
    <row r="33">
      <c r="L33">
        <f>IF(A33="","",F33*G33)</f>
        <v/>
      </c>
    </row>
    <row r="34">
      <c r="L34">
        <f>IF(A34="","",F34*G34)</f>
        <v/>
      </c>
    </row>
    <row r="35">
      <c r="L35">
        <f>IF(A35="","",F35*G35)</f>
        <v/>
      </c>
    </row>
    <row r="36">
      <c r="L36">
        <f>IF(A36="","",F36*G36)</f>
        <v/>
      </c>
    </row>
    <row r="37">
      <c r="L37">
        <f>IF(A37="","",F37*G37)</f>
        <v/>
      </c>
    </row>
    <row r="38">
      <c r="L38">
        <f>IF(A38="","",F38*G38)</f>
        <v/>
      </c>
    </row>
    <row r="39">
      <c r="L39">
        <f>IF(A39="","",F39*G39)</f>
        <v/>
      </c>
    </row>
    <row r="40">
      <c r="L40">
        <f>IF(A40="","",F40*G40)</f>
        <v/>
      </c>
    </row>
    <row r="41">
      <c r="L41">
        <f>IF(A41="","",F41*G41)</f>
        <v/>
      </c>
    </row>
    <row r="42">
      <c r="L42">
        <f>IF(A42="","",F42*G42)</f>
        <v/>
      </c>
    </row>
    <row r="43">
      <c r="L43">
        <f>IF(A43="","",F43*G43)</f>
        <v/>
      </c>
    </row>
    <row r="44">
      <c r="L44">
        <f>IF(A44="","",F44*G44)</f>
        <v/>
      </c>
    </row>
    <row r="45">
      <c r="L45">
        <f>IF(A45="","",F45*G45)</f>
        <v/>
      </c>
    </row>
    <row r="46">
      <c r="L46">
        <f>IF(A46="","",F46*G46)</f>
        <v/>
      </c>
    </row>
    <row r="47">
      <c r="L47">
        <f>IF(A47="","",F47*G47)</f>
        <v/>
      </c>
    </row>
    <row r="48">
      <c r="L48">
        <f>IF(A48="","",F48*G48)</f>
        <v/>
      </c>
    </row>
    <row r="49">
      <c r="L49">
        <f>IF(A49="","",F49*G49)</f>
        <v/>
      </c>
    </row>
    <row r="50">
      <c r="L50">
        <f>IF(A50="","",F50*G50)</f>
        <v/>
      </c>
    </row>
    <row r="51">
      <c r="L51">
        <f>IF(A51="","",F51*G51)</f>
        <v/>
      </c>
    </row>
    <row r="52">
      <c r="L52">
        <f>IF(A52="","",F52*G52)</f>
        <v/>
      </c>
    </row>
    <row r="53">
      <c r="L53">
        <f>IF(A53="","",F53*G53)</f>
        <v/>
      </c>
    </row>
    <row r="54">
      <c r="L54">
        <f>IF(A54="","",F54*G54)</f>
        <v/>
      </c>
    </row>
    <row r="55">
      <c r="L55">
        <f>IF(A55="","",F55*G55)</f>
        <v/>
      </c>
    </row>
    <row r="56">
      <c r="L56">
        <f>IF(A56="","",F56*G56)</f>
        <v/>
      </c>
    </row>
    <row r="57">
      <c r="L57">
        <f>IF(A57="","",F57*G57)</f>
        <v/>
      </c>
    </row>
    <row r="58">
      <c r="L58">
        <f>IF(A58="","",F58*G58)</f>
        <v/>
      </c>
    </row>
    <row r="59">
      <c r="L59">
        <f>IF(A59="","",F59*G59)</f>
        <v/>
      </c>
    </row>
    <row r="60">
      <c r="L60">
        <f>IF(A60="","",F60*G60)</f>
        <v/>
      </c>
    </row>
    <row r="61">
      <c r="L61">
        <f>IF(A61="","",F61*G61)</f>
        <v/>
      </c>
    </row>
    <row r="62">
      <c r="L62">
        <f>IF(A62="","",F62*G62)</f>
        <v/>
      </c>
    </row>
    <row r="63">
      <c r="L63">
        <f>IF(A63="","",F63*G63)</f>
        <v/>
      </c>
    </row>
    <row r="64">
      <c r="L64">
        <f>IF(A64="","",F64*G64)</f>
        <v/>
      </c>
    </row>
    <row r="65">
      <c r="L65">
        <f>IF(A65="","",F65*G65)</f>
        <v/>
      </c>
    </row>
    <row r="66">
      <c r="L66">
        <f>IF(A66="","",F66*G66)</f>
        <v/>
      </c>
    </row>
    <row r="67">
      <c r="L67">
        <f>IF(A67="","",F67*G67)</f>
        <v/>
      </c>
    </row>
    <row r="68">
      <c r="L68">
        <f>IF(A68="","",F68*G68)</f>
        <v/>
      </c>
    </row>
    <row r="69">
      <c r="L69">
        <f>IF(A69="","",F69*G69)</f>
        <v/>
      </c>
    </row>
    <row r="70">
      <c r="L70">
        <f>IF(A70="","",F70*G70)</f>
        <v/>
      </c>
    </row>
    <row r="71">
      <c r="L71">
        <f>IF(A71="","",F71*G71)</f>
        <v/>
      </c>
    </row>
    <row r="72">
      <c r="L72">
        <f>IF(A72="","",F72*G72)</f>
        <v/>
      </c>
    </row>
    <row r="73">
      <c r="L73">
        <f>IF(A73="","",F73*G73)</f>
        <v/>
      </c>
    </row>
    <row r="74">
      <c r="L74">
        <f>IF(A74="","",F74*G74)</f>
        <v/>
      </c>
    </row>
    <row r="75">
      <c r="L75">
        <f>IF(A75="","",F75*G75)</f>
        <v/>
      </c>
    </row>
    <row r="76">
      <c r="L76">
        <f>IF(A76="","",F76*G76)</f>
        <v/>
      </c>
    </row>
    <row r="77">
      <c r="L77">
        <f>IF(A77="","",F77*G77)</f>
        <v/>
      </c>
    </row>
    <row r="78">
      <c r="L78">
        <f>IF(A78="","",F78*G78)</f>
        <v/>
      </c>
    </row>
    <row r="79">
      <c r="L79">
        <f>IF(A79="","",F79*G79)</f>
        <v/>
      </c>
    </row>
    <row r="80">
      <c r="L80">
        <f>IF(A80="","",F80*G80)</f>
        <v/>
      </c>
    </row>
    <row r="81">
      <c r="L81">
        <f>IF(A81="","",F81*G81)</f>
        <v/>
      </c>
    </row>
    <row r="82">
      <c r="L82">
        <f>IF(A82="","",F82*G82)</f>
        <v/>
      </c>
    </row>
    <row r="83">
      <c r="L83">
        <f>IF(A83="","",F83*G83)</f>
        <v/>
      </c>
    </row>
    <row r="84">
      <c r="L84">
        <f>IF(A84="","",F84*G84)</f>
        <v/>
      </c>
    </row>
    <row r="85">
      <c r="L85">
        <f>IF(A85="","",F85*G85)</f>
        <v/>
      </c>
    </row>
    <row r="86">
      <c r="L86">
        <f>IF(A86="","",F86*G86)</f>
        <v/>
      </c>
    </row>
    <row r="87">
      <c r="L87">
        <f>IF(A87="","",F87*G87)</f>
        <v/>
      </c>
    </row>
    <row r="88">
      <c r="L88">
        <f>IF(A88="","",F88*G88)</f>
        <v/>
      </c>
    </row>
    <row r="89">
      <c r="L89">
        <f>IF(A89="","",F89*G89)</f>
        <v/>
      </c>
    </row>
    <row r="90">
      <c r="L90">
        <f>IF(A90="","",F90*G90)</f>
        <v/>
      </c>
    </row>
    <row r="91">
      <c r="L91">
        <f>IF(A91="","",F91*G91)</f>
        <v/>
      </c>
    </row>
    <row r="92">
      <c r="L92">
        <f>IF(A92="","",F92*G92)</f>
        <v/>
      </c>
    </row>
    <row r="93">
      <c r="L93">
        <f>IF(A93="","",F93*G93)</f>
        <v/>
      </c>
    </row>
    <row r="94">
      <c r="L94">
        <f>IF(A94="","",F94*G94)</f>
        <v/>
      </c>
    </row>
    <row r="95">
      <c r="L95">
        <f>IF(A95="","",F95*G95)</f>
        <v/>
      </c>
    </row>
    <row r="96">
      <c r="L96">
        <f>IF(A96="","",F96*G96)</f>
        <v/>
      </c>
    </row>
    <row r="97">
      <c r="L97">
        <f>IF(A97="","",F97*G97)</f>
        <v/>
      </c>
    </row>
    <row r="98">
      <c r="L98">
        <f>IF(A98="","",F98*G98)</f>
        <v/>
      </c>
    </row>
    <row r="99">
      <c r="L99">
        <f>IF(A99="","",F99*G99)</f>
        <v/>
      </c>
    </row>
    <row r="100">
      <c r="L100">
        <f>IF(A100="","",F100*G100)</f>
        <v/>
      </c>
    </row>
    <row r="101">
      <c r="L101">
        <f>IF(A101="","",F101*G101)</f>
        <v/>
      </c>
    </row>
    <row r="102">
      <c r="L102">
        <f>IF(A102="","",F102*G102)</f>
        <v/>
      </c>
    </row>
    <row r="103">
      <c r="L103">
        <f>IF(A103="","",F103*G103)</f>
        <v/>
      </c>
    </row>
    <row r="104">
      <c r="L104">
        <f>IF(A104="","",F104*G104)</f>
        <v/>
      </c>
    </row>
    <row r="105">
      <c r="L105">
        <f>IF(A105="","",F105*G105)</f>
        <v/>
      </c>
    </row>
    <row r="106">
      <c r="L106">
        <f>IF(A106="","",F106*G106)</f>
        <v/>
      </c>
    </row>
    <row r="107">
      <c r="L107">
        <f>IF(A107="","",F107*G107)</f>
        <v/>
      </c>
    </row>
    <row r="108">
      <c r="L108">
        <f>IF(A108="","",F108*G108)</f>
        <v/>
      </c>
    </row>
    <row r="109">
      <c r="L109">
        <f>IF(A109="","",F109*G109)</f>
        <v/>
      </c>
    </row>
    <row r="110">
      <c r="L110">
        <f>IF(A110="","",F110*G110)</f>
        <v/>
      </c>
    </row>
    <row r="111">
      <c r="L111">
        <f>IF(A111="","",F111*G111)</f>
        <v/>
      </c>
    </row>
    <row r="112">
      <c r="L112">
        <f>IF(A112="","",F112*G112)</f>
        <v/>
      </c>
    </row>
    <row r="113">
      <c r="L113">
        <f>IF(A113="","",F113*G113)</f>
        <v/>
      </c>
    </row>
    <row r="114">
      <c r="L114">
        <f>IF(A114="","",F114*G114)</f>
        <v/>
      </c>
    </row>
    <row r="115">
      <c r="L115">
        <f>IF(A115="","",F115*G115)</f>
        <v/>
      </c>
    </row>
    <row r="116">
      <c r="L116">
        <f>IF(A116="","",F116*G116)</f>
        <v/>
      </c>
    </row>
    <row r="117">
      <c r="L117">
        <f>IF(A117="","",F117*G117)</f>
        <v/>
      </c>
    </row>
    <row r="118">
      <c r="L118">
        <f>IF(A118="","",F118*G118)</f>
        <v/>
      </c>
    </row>
    <row r="119">
      <c r="L119">
        <f>IF(A119="","",F119*G119)</f>
        <v/>
      </c>
    </row>
    <row r="120">
      <c r="L120">
        <f>IF(A120="","",F120*G120)</f>
        <v/>
      </c>
    </row>
    <row r="121">
      <c r="L121">
        <f>IF(A121="","",F121*G121)</f>
        <v/>
      </c>
    </row>
    <row r="122">
      <c r="L122">
        <f>IF(A122="","",F122*G122)</f>
        <v/>
      </c>
    </row>
    <row r="123">
      <c r="L123">
        <f>IF(A123="","",F123*G123)</f>
        <v/>
      </c>
    </row>
    <row r="124">
      <c r="L124">
        <f>IF(A124="","",F124*G124)</f>
        <v/>
      </c>
    </row>
    <row r="125">
      <c r="L125">
        <f>IF(A125="","",F125*G125)</f>
        <v/>
      </c>
    </row>
    <row r="126">
      <c r="L126">
        <f>IF(A126="","",F126*G126)</f>
        <v/>
      </c>
    </row>
    <row r="127">
      <c r="L127">
        <f>IF(A127="","",F127*G127)</f>
        <v/>
      </c>
    </row>
    <row r="128">
      <c r="L128">
        <f>IF(A128="","",F128*G128)</f>
        <v/>
      </c>
    </row>
    <row r="129">
      <c r="L129">
        <f>IF(A129="","",F129*G129)</f>
        <v/>
      </c>
    </row>
    <row r="130">
      <c r="L130">
        <f>IF(A130="","",F130*G130)</f>
        <v/>
      </c>
    </row>
    <row r="131">
      <c r="L131">
        <f>IF(A131="","",F131*G131)</f>
        <v/>
      </c>
    </row>
    <row r="132">
      <c r="L132">
        <f>IF(A132="","",F132*G132)</f>
        <v/>
      </c>
    </row>
    <row r="133">
      <c r="L133">
        <f>IF(A133="","",F133*G133)</f>
        <v/>
      </c>
    </row>
    <row r="134">
      <c r="L134">
        <f>IF(A134="","",F134*G134)</f>
        <v/>
      </c>
    </row>
    <row r="135">
      <c r="L135">
        <f>IF(A135="","",F135*G135)</f>
        <v/>
      </c>
    </row>
    <row r="136">
      <c r="L136">
        <f>IF(A136="","",F136*G136)</f>
        <v/>
      </c>
    </row>
    <row r="137">
      <c r="L137">
        <f>IF(A137="","",F137*G137)</f>
        <v/>
      </c>
    </row>
    <row r="138">
      <c r="L138">
        <f>IF(A138="","",F138*G138)</f>
        <v/>
      </c>
    </row>
    <row r="139">
      <c r="L139">
        <f>IF(A139="","",F139*G139)</f>
        <v/>
      </c>
    </row>
    <row r="140">
      <c r="L140">
        <f>IF(A140="","",F140*G140)</f>
        <v/>
      </c>
    </row>
    <row r="141">
      <c r="L141">
        <f>IF(A141="","",F141*G141)</f>
        <v/>
      </c>
    </row>
    <row r="142">
      <c r="L142">
        <f>IF(A142="","",F142*G142)</f>
        <v/>
      </c>
    </row>
    <row r="143">
      <c r="L143">
        <f>IF(A143="","",F143*G143)</f>
        <v/>
      </c>
    </row>
    <row r="144">
      <c r="L144">
        <f>IF(A144="","",F144*G144)</f>
        <v/>
      </c>
    </row>
    <row r="145">
      <c r="L145">
        <f>IF(A145="","",F145*G145)</f>
        <v/>
      </c>
    </row>
    <row r="146">
      <c r="L146">
        <f>IF(A146="","",F146*G146)</f>
        <v/>
      </c>
    </row>
    <row r="147">
      <c r="L147">
        <f>IF(A147="","",F147*G147)</f>
        <v/>
      </c>
    </row>
    <row r="148">
      <c r="L148">
        <f>IF(A148="","",F148*G148)</f>
        <v/>
      </c>
    </row>
    <row r="149">
      <c r="L149">
        <f>IF(A149="","",F149*G149)</f>
        <v/>
      </c>
    </row>
    <row r="150">
      <c r="L150">
        <f>IF(A150="","",F150*G150)</f>
        <v/>
      </c>
    </row>
    <row r="151">
      <c r="L151">
        <f>IF(A151="","",F151*G151)</f>
        <v/>
      </c>
    </row>
    <row r="152">
      <c r="L152">
        <f>IF(A152="","",F152*G152)</f>
        <v/>
      </c>
    </row>
    <row r="153">
      <c r="L153">
        <f>IF(A153="","",F153*G153)</f>
        <v/>
      </c>
    </row>
    <row r="154">
      <c r="L154">
        <f>IF(A154="","",F154*G154)</f>
        <v/>
      </c>
    </row>
    <row r="155">
      <c r="L155">
        <f>IF(A155="","",F155*G155)</f>
        <v/>
      </c>
    </row>
    <row r="156">
      <c r="L156">
        <f>IF(A156="","",F156*G156)</f>
        <v/>
      </c>
    </row>
    <row r="157">
      <c r="L157">
        <f>IF(A157="","",F157*G157)</f>
        <v/>
      </c>
    </row>
    <row r="158">
      <c r="L158">
        <f>IF(A158="","",F158*G158)</f>
        <v/>
      </c>
    </row>
    <row r="159">
      <c r="L159">
        <f>IF(A159="","",F159*G159)</f>
        <v/>
      </c>
    </row>
    <row r="160">
      <c r="L160">
        <f>IF(A160="","",F160*G160)</f>
        <v/>
      </c>
    </row>
    <row r="161">
      <c r="L161">
        <f>IF(A161="","",F161*G161)</f>
        <v/>
      </c>
    </row>
    <row r="162">
      <c r="L162">
        <f>IF(A162="","",F162*G162)</f>
        <v/>
      </c>
    </row>
    <row r="163">
      <c r="L163">
        <f>IF(A163="","",F163*G163)</f>
        <v/>
      </c>
    </row>
    <row r="164">
      <c r="L164">
        <f>IF(A164="","",F164*G164)</f>
        <v/>
      </c>
    </row>
    <row r="165">
      <c r="L165">
        <f>IF(A165="","",F165*G165)</f>
        <v/>
      </c>
    </row>
    <row r="166">
      <c r="L166">
        <f>IF(A166="","",F166*G166)</f>
        <v/>
      </c>
    </row>
    <row r="167">
      <c r="L167">
        <f>IF(A167="","",F167*G167)</f>
        <v/>
      </c>
    </row>
    <row r="168">
      <c r="L168">
        <f>IF(A168="","",F168*G168)</f>
        <v/>
      </c>
    </row>
    <row r="169">
      <c r="L169">
        <f>IF(A169="","",F169*G169)</f>
        <v/>
      </c>
    </row>
    <row r="170">
      <c r="L170">
        <f>IF(A170="","",F170*G170)</f>
        <v/>
      </c>
    </row>
    <row r="171">
      <c r="L171">
        <f>IF(A171="","",F171*G171)</f>
        <v/>
      </c>
    </row>
    <row r="172">
      <c r="L172">
        <f>IF(A172="","",F172*G172)</f>
        <v/>
      </c>
    </row>
    <row r="173">
      <c r="L173">
        <f>IF(A173="","",F173*G173)</f>
        <v/>
      </c>
    </row>
    <row r="174">
      <c r="L174">
        <f>IF(A174="","",F174*G174)</f>
        <v/>
      </c>
    </row>
    <row r="175">
      <c r="L175">
        <f>IF(A175="","",F175*G175)</f>
        <v/>
      </c>
    </row>
    <row r="176">
      <c r="L176">
        <f>IF(A176="","",F176*G176)</f>
        <v/>
      </c>
    </row>
    <row r="177">
      <c r="L177">
        <f>IF(A177="","",F177*G177)</f>
        <v/>
      </c>
    </row>
    <row r="178">
      <c r="L178">
        <f>IF(A178="","",F178*G178)</f>
        <v/>
      </c>
    </row>
    <row r="179">
      <c r="L179">
        <f>IF(A179="","",F179*G179)</f>
        <v/>
      </c>
    </row>
    <row r="180">
      <c r="L180">
        <f>IF(A180="","",F180*G180)</f>
        <v/>
      </c>
    </row>
    <row r="181">
      <c r="L181">
        <f>IF(A181="","",F181*G181)</f>
        <v/>
      </c>
    </row>
    <row r="182">
      <c r="L182">
        <f>IF(A182="","",F182*G182)</f>
        <v/>
      </c>
    </row>
    <row r="183">
      <c r="L183">
        <f>IF(A183="","",F183*G183)</f>
        <v/>
      </c>
    </row>
    <row r="184">
      <c r="L184">
        <f>IF(A184="","",F184*G184)</f>
        <v/>
      </c>
    </row>
    <row r="185">
      <c r="L185">
        <f>IF(A185="","",F185*G185)</f>
        <v/>
      </c>
    </row>
    <row r="186">
      <c r="L186">
        <f>IF(A186="","",F186*G186)</f>
        <v/>
      </c>
    </row>
    <row r="187">
      <c r="L187">
        <f>IF(A187="","",F187*G187)</f>
        <v/>
      </c>
    </row>
    <row r="188">
      <c r="L188">
        <f>IF(A188="","",F188*G188)</f>
        <v/>
      </c>
    </row>
    <row r="189">
      <c r="L189">
        <f>IF(A189="","",F189*G189)</f>
        <v/>
      </c>
    </row>
    <row r="190">
      <c r="L190">
        <f>IF(A190="","",F190*G190)</f>
        <v/>
      </c>
    </row>
    <row r="191">
      <c r="L191">
        <f>IF(A191="","",F191*G191)</f>
        <v/>
      </c>
    </row>
    <row r="192">
      <c r="L192">
        <f>IF(A192="","",F192*G192)</f>
        <v/>
      </c>
    </row>
    <row r="193">
      <c r="L193">
        <f>IF(A193="","",F193*G193)</f>
        <v/>
      </c>
    </row>
    <row r="194">
      <c r="L194">
        <f>IF(A194="","",F194*G194)</f>
        <v/>
      </c>
    </row>
    <row r="195">
      <c r="L195">
        <f>IF(A195="","",F195*G195)</f>
        <v/>
      </c>
    </row>
    <row r="196">
      <c r="L196">
        <f>IF(A196="","",F196*G196)</f>
        <v/>
      </c>
    </row>
    <row r="197">
      <c r="L197">
        <f>IF(A197="","",F197*G197)</f>
        <v/>
      </c>
    </row>
    <row r="198">
      <c r="L198">
        <f>IF(A198="","",F198*G198)</f>
        <v/>
      </c>
    </row>
    <row r="199">
      <c r="L199">
        <f>IF(A199="","",F199*G199)</f>
        <v/>
      </c>
    </row>
    <row r="200">
      <c r="L200">
        <f>IF(A200="","",F200*G200)</f>
        <v/>
      </c>
    </row>
    <row r="201">
      <c r="L201">
        <f>IF(A201="","",F201*G201)</f>
        <v/>
      </c>
    </row>
    <row r="202">
      <c r="L202">
        <f>IF(A202="","",F202*G202)</f>
        <v/>
      </c>
    </row>
    <row r="203">
      <c r="L203">
        <f>IF(A203="","",F203*G203)</f>
        <v/>
      </c>
    </row>
    <row r="204">
      <c r="L204">
        <f>IF(A204="","",F204*G204)</f>
        <v/>
      </c>
    </row>
    <row r="205">
      <c r="L205">
        <f>IF(A205="","",F205*G205)</f>
        <v/>
      </c>
    </row>
    <row r="206">
      <c r="L206">
        <f>IF(A206="","",F206*G206)</f>
        <v/>
      </c>
    </row>
    <row r="207">
      <c r="L207">
        <f>IF(A207="","",F207*G207)</f>
        <v/>
      </c>
    </row>
    <row r="208">
      <c r="L208">
        <f>IF(A208="","",F208*G208)</f>
        <v/>
      </c>
    </row>
    <row r="209">
      <c r="L209">
        <f>IF(A209="","",F209*G209)</f>
        <v/>
      </c>
    </row>
    <row r="210">
      <c r="L210">
        <f>IF(A210="","",F210*G210)</f>
        <v/>
      </c>
    </row>
    <row r="211">
      <c r="L211">
        <f>IF(A211="","",F211*G211)</f>
        <v/>
      </c>
    </row>
    <row r="212">
      <c r="L212">
        <f>IF(A212="","",F212*G212)</f>
        <v/>
      </c>
    </row>
    <row r="213">
      <c r="L213">
        <f>IF(A213="","",F213*G213)</f>
        <v/>
      </c>
    </row>
    <row r="214">
      <c r="L214">
        <f>IF(A214="","",F214*G214)</f>
        <v/>
      </c>
    </row>
    <row r="215">
      <c r="L215">
        <f>IF(A215="","",F215*G215)</f>
        <v/>
      </c>
    </row>
    <row r="216">
      <c r="L216">
        <f>IF(A216="","",F216*G216)</f>
        <v/>
      </c>
    </row>
    <row r="217">
      <c r="L217">
        <f>IF(A217="","",F217*G217)</f>
        <v/>
      </c>
    </row>
    <row r="218">
      <c r="L218">
        <f>IF(A218="","",F218*G218)</f>
        <v/>
      </c>
    </row>
    <row r="219">
      <c r="L219">
        <f>IF(A219="","",F219*G219)</f>
        <v/>
      </c>
    </row>
    <row r="220">
      <c r="L220">
        <f>IF(A220="","",F220*G220)</f>
        <v/>
      </c>
    </row>
    <row r="221">
      <c r="L221">
        <f>IF(A221="","",F221*G221)</f>
        <v/>
      </c>
    </row>
    <row r="222">
      <c r="L222">
        <f>IF(A222="","",F222*G222)</f>
        <v/>
      </c>
    </row>
    <row r="223">
      <c r="L223">
        <f>IF(A223="","",F223*G223)</f>
        <v/>
      </c>
    </row>
    <row r="224">
      <c r="L224">
        <f>IF(A224="","",F224*G224)</f>
        <v/>
      </c>
    </row>
    <row r="225">
      <c r="L225">
        <f>IF(A225="","",F225*G225)</f>
        <v/>
      </c>
    </row>
    <row r="226">
      <c r="L226">
        <f>IF(A226="","",F226*G226)</f>
        <v/>
      </c>
    </row>
    <row r="227">
      <c r="L227">
        <f>IF(A227="","",F227*G227)</f>
        <v/>
      </c>
    </row>
    <row r="228">
      <c r="L228">
        <f>IF(A228="","",F228*G228)</f>
        <v/>
      </c>
    </row>
    <row r="229">
      <c r="L229">
        <f>IF(A229="","",F229*G229)</f>
        <v/>
      </c>
    </row>
    <row r="230">
      <c r="L230">
        <f>IF(A230="","",F230*G230)</f>
        <v/>
      </c>
    </row>
    <row r="231">
      <c r="L231">
        <f>IF(A231="","",F231*G231)</f>
        <v/>
      </c>
    </row>
    <row r="232">
      <c r="L232">
        <f>IF(A232="","",F232*G232)</f>
        <v/>
      </c>
    </row>
    <row r="233">
      <c r="L233">
        <f>IF(A233="","",F233*G233)</f>
        <v/>
      </c>
    </row>
    <row r="234">
      <c r="L234">
        <f>IF(A234="","",F234*G234)</f>
        <v/>
      </c>
    </row>
    <row r="235">
      <c r="L235">
        <f>IF(A235="","",F235*G235)</f>
        <v/>
      </c>
    </row>
    <row r="236">
      <c r="L236">
        <f>IF(A236="","",F236*G236)</f>
        <v/>
      </c>
    </row>
    <row r="237">
      <c r="L237">
        <f>IF(A237="","",F237*G237)</f>
        <v/>
      </c>
    </row>
    <row r="238">
      <c r="L238">
        <f>IF(A238="","",F238*G238)</f>
        <v/>
      </c>
    </row>
    <row r="239">
      <c r="L239">
        <f>IF(A239="","",F239*G239)</f>
        <v/>
      </c>
    </row>
    <row r="240">
      <c r="L240">
        <f>IF(A240="","",F240*G240)</f>
        <v/>
      </c>
    </row>
    <row r="241">
      <c r="L241">
        <f>IF(A241="","",F241*G241)</f>
        <v/>
      </c>
    </row>
    <row r="242">
      <c r="L242">
        <f>IF(A242="","",F242*G242)</f>
        <v/>
      </c>
    </row>
    <row r="243">
      <c r="L243">
        <f>IF(A243="","",F243*G243)</f>
        <v/>
      </c>
    </row>
    <row r="244">
      <c r="L244">
        <f>IF(A244="","",F244*G244)</f>
        <v/>
      </c>
    </row>
    <row r="245">
      <c r="L245">
        <f>IF(A245="","",F245*G245)</f>
        <v/>
      </c>
    </row>
    <row r="246">
      <c r="L246">
        <f>IF(A246="","",F246*G246)</f>
        <v/>
      </c>
    </row>
    <row r="247">
      <c r="L247">
        <f>IF(A247="","",F247*G247)</f>
        <v/>
      </c>
    </row>
    <row r="248">
      <c r="L248">
        <f>IF(A248="","",F248*G248)</f>
        <v/>
      </c>
    </row>
    <row r="249">
      <c r="L249">
        <f>IF(A249="","",F249*G249)</f>
        <v/>
      </c>
    </row>
    <row r="250">
      <c r="L250">
        <f>IF(A250="","",F250*G250)</f>
        <v/>
      </c>
    </row>
    <row r="251">
      <c r="L251">
        <f>IF(A251="","",F251*G251)</f>
        <v/>
      </c>
    </row>
    <row r="252">
      <c r="L252">
        <f>IF(A252="","",F252*G252)</f>
        <v/>
      </c>
    </row>
    <row r="253">
      <c r="L253">
        <f>IF(A253="","",F253*G253)</f>
        <v/>
      </c>
    </row>
    <row r="254">
      <c r="L254">
        <f>IF(A254="","",F254*G254)</f>
        <v/>
      </c>
    </row>
    <row r="255">
      <c r="L255">
        <f>IF(A255="","",F255*G255)</f>
        <v/>
      </c>
    </row>
    <row r="256">
      <c r="L256">
        <f>IF(A256="","",F256*G256)</f>
        <v/>
      </c>
    </row>
    <row r="257">
      <c r="L257">
        <f>IF(A257="","",F257*G257)</f>
        <v/>
      </c>
    </row>
    <row r="258">
      <c r="L258">
        <f>IF(A258="","",F258*G258)</f>
        <v/>
      </c>
    </row>
    <row r="259">
      <c r="L259">
        <f>IF(A259="","",F259*G259)</f>
        <v/>
      </c>
    </row>
    <row r="260">
      <c r="L260">
        <f>IF(A260="","",F260*G260)</f>
        <v/>
      </c>
    </row>
    <row r="261">
      <c r="L261">
        <f>IF(A261="","",F261*G261)</f>
        <v/>
      </c>
    </row>
    <row r="262">
      <c r="L262">
        <f>IF(A262="","",F262*G262)</f>
        <v/>
      </c>
    </row>
    <row r="263">
      <c r="L263">
        <f>IF(A263="","",F263*G263)</f>
        <v/>
      </c>
    </row>
    <row r="264">
      <c r="L264">
        <f>IF(A264="","",F264*G264)</f>
        <v/>
      </c>
    </row>
    <row r="265">
      <c r="L265">
        <f>IF(A265="","",F265*G265)</f>
        <v/>
      </c>
    </row>
    <row r="266">
      <c r="L266">
        <f>IF(A266="","",F266*G266)</f>
        <v/>
      </c>
    </row>
    <row r="267">
      <c r="L267">
        <f>IF(A267="","",F267*G267)</f>
        <v/>
      </c>
    </row>
    <row r="268">
      <c r="L268">
        <f>IF(A268="","",F268*G268)</f>
        <v/>
      </c>
    </row>
    <row r="269">
      <c r="L269">
        <f>IF(A269="","",F269*G269)</f>
        <v/>
      </c>
    </row>
    <row r="270">
      <c r="L270">
        <f>IF(A270="","",F270*G270)</f>
        <v/>
      </c>
    </row>
    <row r="271">
      <c r="L271">
        <f>IF(A271="","",F271*G271)</f>
        <v/>
      </c>
    </row>
    <row r="272">
      <c r="L272">
        <f>IF(A272="","",F272*G272)</f>
        <v/>
      </c>
    </row>
    <row r="273">
      <c r="L273">
        <f>IF(A273="","",F273*G273)</f>
        <v/>
      </c>
    </row>
    <row r="274">
      <c r="L274">
        <f>IF(A274="","",F274*G274)</f>
        <v/>
      </c>
    </row>
    <row r="275">
      <c r="L275">
        <f>IF(A275="","",F275*G275)</f>
        <v/>
      </c>
    </row>
    <row r="276">
      <c r="L276">
        <f>IF(A276="","",F276*G276)</f>
        <v/>
      </c>
    </row>
    <row r="277">
      <c r="L277">
        <f>IF(A277="","",F277*G277)</f>
        <v/>
      </c>
    </row>
    <row r="278">
      <c r="L278">
        <f>IF(A278="","",F278*G278)</f>
        <v/>
      </c>
    </row>
    <row r="279">
      <c r="L279">
        <f>IF(A279="","",F279*G279)</f>
        <v/>
      </c>
    </row>
    <row r="280">
      <c r="L280">
        <f>IF(A280="","",F280*G280)</f>
        <v/>
      </c>
    </row>
    <row r="281">
      <c r="L281">
        <f>IF(A281="","",F281*G281)</f>
        <v/>
      </c>
    </row>
    <row r="282">
      <c r="L282">
        <f>IF(A282="","",F282*G282)</f>
        <v/>
      </c>
    </row>
    <row r="283">
      <c r="L283">
        <f>IF(A283="","",F283*G283)</f>
        <v/>
      </c>
    </row>
    <row r="284">
      <c r="L284">
        <f>IF(A284="","",F284*G284)</f>
        <v/>
      </c>
    </row>
    <row r="285">
      <c r="L285">
        <f>IF(A285="","",F285*G285)</f>
        <v/>
      </c>
    </row>
    <row r="286">
      <c r="L286">
        <f>IF(A286="","",F286*G286)</f>
        <v/>
      </c>
    </row>
    <row r="287">
      <c r="L287">
        <f>IF(A287="","",F287*G287)</f>
        <v/>
      </c>
    </row>
    <row r="288">
      <c r="L288">
        <f>IF(A288="","",F288*G288)</f>
        <v/>
      </c>
    </row>
    <row r="289">
      <c r="L289">
        <f>IF(A289="","",F289*G289)</f>
        <v/>
      </c>
    </row>
    <row r="290">
      <c r="L290">
        <f>IF(A290="","",F290*G290)</f>
        <v/>
      </c>
    </row>
    <row r="291">
      <c r="L291">
        <f>IF(A291="","",F291*G291)</f>
        <v/>
      </c>
    </row>
    <row r="292">
      <c r="L292">
        <f>IF(A292="","",F292*G292)</f>
        <v/>
      </c>
    </row>
    <row r="293">
      <c r="L293">
        <f>IF(A293="","",F293*G293)</f>
        <v/>
      </c>
    </row>
    <row r="294">
      <c r="L294">
        <f>IF(A294="","",F294*G294)</f>
        <v/>
      </c>
    </row>
    <row r="295">
      <c r="L295">
        <f>IF(A295="","",F295*G295)</f>
        <v/>
      </c>
    </row>
    <row r="296">
      <c r="L296">
        <f>IF(A296="","",F296*G296)</f>
        <v/>
      </c>
    </row>
    <row r="297">
      <c r="L297">
        <f>IF(A297="","",F297*G297)</f>
        <v/>
      </c>
    </row>
    <row r="298">
      <c r="L298">
        <f>IF(A298="","",F298*G298)</f>
        <v/>
      </c>
    </row>
    <row r="299">
      <c r="L299">
        <f>IF(A299="","",F299*G299)</f>
        <v/>
      </c>
    </row>
    <row r="300">
      <c r="L300">
        <f>IF(A300="","",F300*G300)</f>
        <v/>
      </c>
    </row>
    <row r="301">
      <c r="L301">
        <f>IF(A301="","",F301*G301)</f>
        <v/>
      </c>
    </row>
    <row r="302">
      <c r="L302">
        <f>IF(A302="","",F302*G302)</f>
        <v/>
      </c>
    </row>
    <row r="303">
      <c r="L303">
        <f>IF(A303="","",F303*G303)</f>
        <v/>
      </c>
    </row>
    <row r="304">
      <c r="L304">
        <f>IF(A304="","",F304*G304)</f>
        <v/>
      </c>
    </row>
    <row r="305">
      <c r="L305">
        <f>IF(A305="","",F305*G305)</f>
        <v/>
      </c>
    </row>
    <row r="306">
      <c r="L306">
        <f>IF(A306="","",F306*G306)</f>
        <v/>
      </c>
    </row>
    <row r="307">
      <c r="L307">
        <f>IF(A307="","",F307*G307)</f>
        <v/>
      </c>
    </row>
    <row r="308">
      <c r="L308">
        <f>IF(A308="","",F308*G308)</f>
        <v/>
      </c>
    </row>
    <row r="309">
      <c r="L309">
        <f>IF(A309="","",F309*G309)</f>
        <v/>
      </c>
    </row>
    <row r="310">
      <c r="L310">
        <f>IF(A310="","",F310*G310)</f>
        <v/>
      </c>
    </row>
    <row r="311">
      <c r="L311">
        <f>IF(A311="","",F311*G311)</f>
        <v/>
      </c>
    </row>
    <row r="312">
      <c r="L312">
        <f>IF(A312="","",F312*G312)</f>
        <v/>
      </c>
    </row>
    <row r="313">
      <c r="L313">
        <f>IF(A313="","",F313*G313)</f>
        <v/>
      </c>
    </row>
    <row r="314">
      <c r="L314">
        <f>IF(A314="","",F314*G314)</f>
        <v/>
      </c>
    </row>
    <row r="315">
      <c r="L315">
        <f>IF(A315="","",F315*G315)</f>
        <v/>
      </c>
    </row>
    <row r="316">
      <c r="L316">
        <f>IF(A316="","",F316*G316)</f>
        <v/>
      </c>
    </row>
    <row r="317">
      <c r="L317">
        <f>IF(A317="","",F317*G317)</f>
        <v/>
      </c>
    </row>
    <row r="318">
      <c r="L318">
        <f>IF(A318="","",F318*G318)</f>
        <v/>
      </c>
    </row>
    <row r="319">
      <c r="L319">
        <f>IF(A319="","",F319*G319)</f>
        <v/>
      </c>
    </row>
    <row r="320">
      <c r="L320">
        <f>IF(A320="","",F320*G320)</f>
        <v/>
      </c>
    </row>
    <row r="321">
      <c r="L321">
        <f>IF(A321="","",F321*G321)</f>
        <v/>
      </c>
    </row>
    <row r="322">
      <c r="L322">
        <f>IF(A322="","",F322*G322)</f>
        <v/>
      </c>
    </row>
    <row r="323">
      <c r="L323">
        <f>IF(A323="","",F323*G323)</f>
        <v/>
      </c>
    </row>
    <row r="324">
      <c r="L324">
        <f>IF(A324="","",F324*G324)</f>
        <v/>
      </c>
    </row>
    <row r="325">
      <c r="L325">
        <f>IF(A325="","",F325*G325)</f>
        <v/>
      </c>
    </row>
    <row r="326">
      <c r="L326">
        <f>IF(A326="","",F326*G326)</f>
        <v/>
      </c>
    </row>
    <row r="327">
      <c r="L327">
        <f>IF(A327="","",F327*G327)</f>
        <v/>
      </c>
    </row>
    <row r="328">
      <c r="L328">
        <f>IF(A328="","",F328*G328)</f>
        <v/>
      </c>
    </row>
    <row r="329">
      <c r="L329">
        <f>IF(A329="","",F329*G329)</f>
        <v/>
      </c>
    </row>
    <row r="330">
      <c r="L330">
        <f>IF(A330="","",F330*G330)</f>
        <v/>
      </c>
    </row>
    <row r="331">
      <c r="L331">
        <f>IF(A331="","",F331*G331)</f>
        <v/>
      </c>
    </row>
    <row r="332">
      <c r="L332">
        <f>IF(A332="","",F332*G332)</f>
        <v/>
      </c>
    </row>
    <row r="333">
      <c r="L333">
        <f>IF(A333="","",F333*G333)</f>
        <v/>
      </c>
    </row>
    <row r="334">
      <c r="L334">
        <f>IF(A334="","",F334*G334)</f>
        <v/>
      </c>
    </row>
    <row r="335">
      <c r="L335">
        <f>IF(A335="","",F335*G335)</f>
        <v/>
      </c>
    </row>
    <row r="336">
      <c r="L336">
        <f>IF(A336="","",F336*G336)</f>
        <v/>
      </c>
    </row>
    <row r="337">
      <c r="L337">
        <f>IF(A337="","",F337*G337)</f>
        <v/>
      </c>
    </row>
    <row r="338">
      <c r="L338">
        <f>IF(A338="","",F338*G338)</f>
        <v/>
      </c>
    </row>
    <row r="339">
      <c r="L339">
        <f>IF(A339="","",F339*G339)</f>
        <v/>
      </c>
    </row>
    <row r="340">
      <c r="L340">
        <f>IF(A340="","",F340*G340)</f>
        <v/>
      </c>
    </row>
    <row r="341">
      <c r="L341">
        <f>IF(A341="","",F341*G341)</f>
        <v/>
      </c>
    </row>
    <row r="342">
      <c r="L342">
        <f>IF(A342="","",F342*G342)</f>
        <v/>
      </c>
    </row>
    <row r="343">
      <c r="L343">
        <f>IF(A343="","",F343*G343)</f>
        <v/>
      </c>
    </row>
    <row r="344">
      <c r="L344">
        <f>IF(A344="","",F344*G344)</f>
        <v/>
      </c>
    </row>
    <row r="345">
      <c r="L345">
        <f>IF(A345="","",F345*G345)</f>
        <v/>
      </c>
    </row>
    <row r="346">
      <c r="L346">
        <f>IF(A346="","",F346*G346)</f>
        <v/>
      </c>
    </row>
    <row r="347">
      <c r="L347">
        <f>IF(A347="","",F347*G347)</f>
        <v/>
      </c>
    </row>
    <row r="348">
      <c r="L348">
        <f>IF(A348="","",F348*G348)</f>
        <v/>
      </c>
    </row>
    <row r="349">
      <c r="L349">
        <f>IF(A349="","",F349*G349)</f>
        <v/>
      </c>
    </row>
    <row r="350">
      <c r="L350">
        <f>IF(A350="","",F350*G350)</f>
        <v/>
      </c>
    </row>
    <row r="351">
      <c r="L351">
        <f>IF(A351="","",F351*G351)</f>
        <v/>
      </c>
    </row>
    <row r="352">
      <c r="L352">
        <f>IF(A352="","",F352*G352)</f>
        <v/>
      </c>
    </row>
    <row r="353">
      <c r="L353">
        <f>IF(A353="","",F353*G353)</f>
        <v/>
      </c>
    </row>
    <row r="354">
      <c r="L354">
        <f>IF(A354="","",F354*G354)</f>
        <v/>
      </c>
    </row>
    <row r="355">
      <c r="L355">
        <f>IF(A355="","",F355*G355)</f>
        <v/>
      </c>
    </row>
    <row r="356">
      <c r="L356">
        <f>IF(A356="","",F356*G356)</f>
        <v/>
      </c>
    </row>
    <row r="357">
      <c r="L357">
        <f>IF(A357="","",F357*G357)</f>
        <v/>
      </c>
    </row>
    <row r="358">
      <c r="L358">
        <f>IF(A358="","",F358*G358)</f>
        <v/>
      </c>
    </row>
    <row r="359">
      <c r="L359">
        <f>IF(A359="","",F359*G359)</f>
        <v/>
      </c>
    </row>
    <row r="360">
      <c r="L360">
        <f>IF(A360="","",F360*G360)</f>
        <v/>
      </c>
    </row>
    <row r="361">
      <c r="L361">
        <f>IF(A361="","",F361*G361)</f>
        <v/>
      </c>
    </row>
    <row r="362">
      <c r="L362">
        <f>IF(A362="","",F362*G362)</f>
        <v/>
      </c>
    </row>
    <row r="363">
      <c r="L363">
        <f>IF(A363="","",F363*G363)</f>
        <v/>
      </c>
    </row>
    <row r="364">
      <c r="L364">
        <f>IF(A364="","",F364*G364)</f>
        <v/>
      </c>
    </row>
    <row r="365">
      <c r="L365">
        <f>IF(A365="","",F365*G365)</f>
        <v/>
      </c>
    </row>
    <row r="366">
      <c r="L366">
        <f>IF(A366="","",F366*G366)</f>
        <v/>
      </c>
    </row>
    <row r="367">
      <c r="L367">
        <f>IF(A367="","",F367*G367)</f>
        <v/>
      </c>
    </row>
    <row r="368">
      <c r="L368">
        <f>IF(A368="","",F368*G368)</f>
        <v/>
      </c>
    </row>
    <row r="369">
      <c r="L369">
        <f>IF(A369="","",F369*G369)</f>
        <v/>
      </c>
    </row>
    <row r="370">
      <c r="L370">
        <f>IF(A370="","",F370*G370)</f>
        <v/>
      </c>
    </row>
    <row r="371">
      <c r="L371">
        <f>IF(A371="","",F371*G371)</f>
        <v/>
      </c>
    </row>
    <row r="372">
      <c r="L372">
        <f>IF(A372="","",F372*G372)</f>
        <v/>
      </c>
    </row>
    <row r="373">
      <c r="L373">
        <f>IF(A373="","",F373*G373)</f>
        <v/>
      </c>
    </row>
    <row r="374">
      <c r="L374">
        <f>IF(A374="","",F374*G374)</f>
        <v/>
      </c>
    </row>
    <row r="375">
      <c r="L375">
        <f>IF(A375="","",F375*G375)</f>
        <v/>
      </c>
    </row>
    <row r="376">
      <c r="L376">
        <f>IF(A376="","",F376*G376)</f>
        <v/>
      </c>
    </row>
    <row r="377">
      <c r="L377">
        <f>IF(A377="","",F377*G377)</f>
        <v/>
      </c>
    </row>
    <row r="378">
      <c r="L378">
        <f>IF(A378="","",F378*G378)</f>
        <v/>
      </c>
    </row>
    <row r="379">
      <c r="L379">
        <f>IF(A379="","",F379*G379)</f>
        <v/>
      </c>
    </row>
    <row r="380">
      <c r="L380">
        <f>IF(A380="","",F380*G380)</f>
        <v/>
      </c>
    </row>
    <row r="381">
      <c r="L381">
        <f>IF(A381="","",F381*G381)</f>
        <v/>
      </c>
    </row>
    <row r="382">
      <c r="L382">
        <f>IF(A382="","",F382*G382)</f>
        <v/>
      </c>
    </row>
    <row r="383">
      <c r="L383">
        <f>IF(A383="","",F383*G383)</f>
        <v/>
      </c>
    </row>
    <row r="384">
      <c r="L384">
        <f>IF(A384="","",F384*G384)</f>
        <v/>
      </c>
    </row>
    <row r="385">
      <c r="L385">
        <f>IF(A385="","",F385*G385)</f>
        <v/>
      </c>
    </row>
    <row r="386">
      <c r="L386">
        <f>IF(A386="","",F386*G386)</f>
        <v/>
      </c>
    </row>
    <row r="387">
      <c r="L387">
        <f>IF(A387="","",F387*G387)</f>
        <v/>
      </c>
    </row>
    <row r="388">
      <c r="L388">
        <f>IF(A388="","",F388*G388)</f>
        <v/>
      </c>
    </row>
    <row r="389">
      <c r="L389">
        <f>IF(A389="","",F389*G389)</f>
        <v/>
      </c>
    </row>
    <row r="390">
      <c r="L390">
        <f>IF(A390="","",F390*G390)</f>
        <v/>
      </c>
    </row>
    <row r="391">
      <c r="L391">
        <f>IF(A391="","",F391*G391)</f>
        <v/>
      </c>
    </row>
    <row r="392">
      <c r="L392">
        <f>IF(A392="","",F392*G392)</f>
        <v/>
      </c>
    </row>
    <row r="393">
      <c r="L393">
        <f>IF(A393="","",F393*G393)</f>
        <v/>
      </c>
    </row>
    <row r="394">
      <c r="L394">
        <f>IF(A394="","",F394*G394)</f>
        <v/>
      </c>
    </row>
    <row r="395">
      <c r="L395">
        <f>IF(A395="","",F395*G395)</f>
        <v/>
      </c>
    </row>
    <row r="396">
      <c r="L396">
        <f>IF(A396="","",F396*G396)</f>
        <v/>
      </c>
    </row>
    <row r="397">
      <c r="L397">
        <f>IF(A397="","",F397*G397)</f>
        <v/>
      </c>
    </row>
    <row r="398">
      <c r="L398">
        <f>IF(A398="","",F398*G398)</f>
        <v/>
      </c>
    </row>
    <row r="399">
      <c r="L399">
        <f>IF(A399="","",F399*G399)</f>
        <v/>
      </c>
    </row>
    <row r="400">
      <c r="L400">
        <f>IF(A400="","",F400*G400)</f>
        <v/>
      </c>
    </row>
    <row r="401">
      <c r="L401">
        <f>IF(A401="","",F401*G401)</f>
        <v/>
      </c>
    </row>
    <row r="402">
      <c r="L402">
        <f>IF(A402="","",F402*G402)</f>
        <v/>
      </c>
    </row>
    <row r="403">
      <c r="L403">
        <f>IF(A403="","",F403*G403)</f>
        <v/>
      </c>
    </row>
    <row r="404">
      <c r="L404">
        <f>IF(A404="","",F404*G404)</f>
        <v/>
      </c>
    </row>
    <row r="405">
      <c r="L405">
        <f>IF(A405="","",F405*G405)</f>
        <v/>
      </c>
    </row>
    <row r="406">
      <c r="L406">
        <f>IF(A406="","",F406*G406)</f>
        <v/>
      </c>
    </row>
    <row r="407">
      <c r="L407">
        <f>IF(A407="","",F407*G407)</f>
        <v/>
      </c>
    </row>
    <row r="408">
      <c r="L408">
        <f>IF(A408="","",F408*G408)</f>
        <v/>
      </c>
    </row>
    <row r="409">
      <c r="L409">
        <f>IF(A409="","",F409*G409)</f>
        <v/>
      </c>
    </row>
    <row r="410">
      <c r="L410">
        <f>IF(A410="","",F410*G410)</f>
        <v/>
      </c>
    </row>
    <row r="411">
      <c r="L411">
        <f>IF(A411="","",F411*G411)</f>
        <v/>
      </c>
    </row>
    <row r="412">
      <c r="L412">
        <f>IF(A412="","",F412*G412)</f>
        <v/>
      </c>
    </row>
    <row r="413">
      <c r="L413">
        <f>IF(A413="","",F413*G413)</f>
        <v/>
      </c>
    </row>
    <row r="414">
      <c r="L414">
        <f>IF(A414="","",F414*G414)</f>
        <v/>
      </c>
    </row>
    <row r="415">
      <c r="L415">
        <f>IF(A415="","",F415*G415)</f>
        <v/>
      </c>
    </row>
    <row r="416">
      <c r="L416">
        <f>IF(A416="","",F416*G416)</f>
        <v/>
      </c>
    </row>
    <row r="417">
      <c r="L417">
        <f>IF(A417="","",F417*G417)</f>
        <v/>
      </c>
    </row>
    <row r="418">
      <c r="L418">
        <f>IF(A418="","",F418*G418)</f>
        <v/>
      </c>
    </row>
    <row r="419">
      <c r="L419">
        <f>IF(A419="","",F419*G419)</f>
        <v/>
      </c>
    </row>
    <row r="420">
      <c r="L420">
        <f>IF(A420="","",F420*G420)</f>
        <v/>
      </c>
    </row>
    <row r="421">
      <c r="L421">
        <f>IF(A421="","",F421*G421)</f>
        <v/>
      </c>
    </row>
    <row r="422">
      <c r="L422">
        <f>IF(A422="","",F422*G422)</f>
        <v/>
      </c>
    </row>
    <row r="423">
      <c r="L423">
        <f>IF(A423="","",F423*G423)</f>
        <v/>
      </c>
    </row>
    <row r="424">
      <c r="L424">
        <f>IF(A424="","",F424*G424)</f>
        <v/>
      </c>
    </row>
    <row r="425">
      <c r="L425">
        <f>IF(A425="","",F425*G425)</f>
        <v/>
      </c>
    </row>
    <row r="426">
      <c r="L426">
        <f>IF(A426="","",F426*G426)</f>
        <v/>
      </c>
    </row>
    <row r="427">
      <c r="L427">
        <f>IF(A427="","",F427*G427)</f>
        <v/>
      </c>
    </row>
    <row r="428">
      <c r="L428">
        <f>IF(A428="","",F428*G428)</f>
        <v/>
      </c>
    </row>
    <row r="429">
      <c r="L429">
        <f>IF(A429="","",F429*G429)</f>
        <v/>
      </c>
    </row>
    <row r="430">
      <c r="L430">
        <f>IF(A430="","",F430*G430)</f>
        <v/>
      </c>
    </row>
    <row r="431">
      <c r="L431">
        <f>IF(A431="","",F431*G431)</f>
        <v/>
      </c>
    </row>
    <row r="432">
      <c r="L432">
        <f>IF(A432="","",F432*G432)</f>
        <v/>
      </c>
    </row>
    <row r="433">
      <c r="L433">
        <f>IF(A433="","",F433*G433)</f>
        <v/>
      </c>
    </row>
    <row r="434">
      <c r="L434">
        <f>IF(A434="","",F434*G434)</f>
        <v/>
      </c>
    </row>
    <row r="435">
      <c r="L435">
        <f>IF(A435="","",F435*G435)</f>
        <v/>
      </c>
    </row>
    <row r="436">
      <c r="L436">
        <f>IF(A436="","",F436*G436)</f>
        <v/>
      </c>
    </row>
    <row r="437">
      <c r="L437">
        <f>IF(A437="","",F437*G437)</f>
        <v/>
      </c>
    </row>
    <row r="438">
      <c r="L438">
        <f>IF(A438="","",F438*G438)</f>
        <v/>
      </c>
    </row>
    <row r="439">
      <c r="L439">
        <f>IF(A439="","",F439*G439)</f>
        <v/>
      </c>
    </row>
    <row r="440">
      <c r="L440">
        <f>IF(A440="","",F440*G440)</f>
        <v/>
      </c>
    </row>
    <row r="441">
      <c r="L441">
        <f>IF(A441="","",F441*G441)</f>
        <v/>
      </c>
    </row>
    <row r="442">
      <c r="L442">
        <f>IF(A442="","",F442*G442)</f>
        <v/>
      </c>
    </row>
    <row r="443">
      <c r="L443">
        <f>IF(A443="","",F443*G443)</f>
        <v/>
      </c>
    </row>
    <row r="444">
      <c r="L444">
        <f>IF(A444="","",F444*G444)</f>
        <v/>
      </c>
    </row>
    <row r="445">
      <c r="L445">
        <f>IF(A445="","",F445*G445)</f>
        <v/>
      </c>
    </row>
    <row r="446">
      <c r="L446">
        <f>IF(A446="","",F446*G446)</f>
        <v/>
      </c>
    </row>
    <row r="447">
      <c r="L447">
        <f>IF(A447="","",F447*G447)</f>
        <v/>
      </c>
    </row>
    <row r="448">
      <c r="L448">
        <f>IF(A448="","",F448*G448)</f>
        <v/>
      </c>
    </row>
    <row r="449">
      <c r="L449">
        <f>IF(A449="","",F449*G449)</f>
        <v/>
      </c>
    </row>
    <row r="450">
      <c r="L450">
        <f>IF(A450="","",F450*G450)</f>
        <v/>
      </c>
    </row>
    <row r="451">
      <c r="L451">
        <f>IF(A451="","",F451*G451)</f>
        <v/>
      </c>
    </row>
    <row r="452">
      <c r="L452">
        <f>IF(A452="","",F452*G452)</f>
        <v/>
      </c>
    </row>
    <row r="453">
      <c r="L453">
        <f>IF(A453="","",F453*G453)</f>
        <v/>
      </c>
    </row>
    <row r="454">
      <c r="L454">
        <f>IF(A454="","",F454*G454)</f>
        <v/>
      </c>
    </row>
    <row r="455">
      <c r="L455">
        <f>IF(A455="","",F455*G455)</f>
        <v/>
      </c>
    </row>
    <row r="456">
      <c r="L456">
        <f>IF(A456="","",F456*G456)</f>
        <v/>
      </c>
    </row>
    <row r="457">
      <c r="L457">
        <f>IF(A457="","",F457*G457)</f>
        <v/>
      </c>
    </row>
    <row r="458">
      <c r="L458">
        <f>IF(A458="","",F458*G458)</f>
        <v/>
      </c>
    </row>
    <row r="459">
      <c r="L459">
        <f>IF(A459="","",F459*G459)</f>
        <v/>
      </c>
    </row>
    <row r="460">
      <c r="L460">
        <f>IF(A460="","",F460*G460)</f>
        <v/>
      </c>
    </row>
    <row r="461">
      <c r="L461">
        <f>IF(A461="","",F461*G461)</f>
        <v/>
      </c>
    </row>
    <row r="462">
      <c r="L462">
        <f>IF(A462="","",F462*G462)</f>
        <v/>
      </c>
    </row>
    <row r="463">
      <c r="L463">
        <f>IF(A463="","",F463*G463)</f>
        <v/>
      </c>
    </row>
    <row r="464">
      <c r="L464">
        <f>IF(A464="","",F464*G464)</f>
        <v/>
      </c>
    </row>
    <row r="465">
      <c r="L465">
        <f>IF(A465="","",F465*G465)</f>
        <v/>
      </c>
    </row>
    <row r="466">
      <c r="L466">
        <f>IF(A466="","",F466*G466)</f>
        <v/>
      </c>
    </row>
    <row r="467">
      <c r="L467">
        <f>IF(A467="","",F467*G467)</f>
        <v/>
      </c>
    </row>
    <row r="468">
      <c r="L468">
        <f>IF(A468="","",F468*G468)</f>
        <v/>
      </c>
    </row>
    <row r="469">
      <c r="L469">
        <f>IF(A469="","",F469*G469)</f>
        <v/>
      </c>
    </row>
    <row r="470">
      <c r="L470">
        <f>IF(A470="","",F470*G470)</f>
        <v/>
      </c>
    </row>
    <row r="471">
      <c r="L471">
        <f>IF(A471="","",F471*G471)</f>
        <v/>
      </c>
    </row>
    <row r="472">
      <c r="L472">
        <f>IF(A472="","",F472*G472)</f>
        <v/>
      </c>
    </row>
    <row r="473">
      <c r="L473">
        <f>IF(A473="","",F473*G473)</f>
        <v/>
      </c>
    </row>
    <row r="474">
      <c r="L474">
        <f>IF(A474="","",F474*G474)</f>
        <v/>
      </c>
    </row>
    <row r="475">
      <c r="L475">
        <f>IF(A475="","",F475*G475)</f>
        <v/>
      </c>
    </row>
    <row r="476">
      <c r="L476">
        <f>IF(A476="","",F476*G476)</f>
        <v/>
      </c>
    </row>
    <row r="477">
      <c r="L477">
        <f>IF(A477="","",F477*G477)</f>
        <v/>
      </c>
    </row>
    <row r="478">
      <c r="L478">
        <f>IF(A478="","",F478*G478)</f>
        <v/>
      </c>
    </row>
    <row r="479">
      <c r="L479">
        <f>IF(A479="","",F479*G479)</f>
        <v/>
      </c>
    </row>
    <row r="480">
      <c r="L480">
        <f>IF(A480="","",F480*G480)</f>
        <v/>
      </c>
    </row>
    <row r="481">
      <c r="L481">
        <f>IF(A481="","",F481*G481)</f>
        <v/>
      </c>
    </row>
    <row r="482">
      <c r="L482">
        <f>IF(A482="","",F482*G482)</f>
        <v/>
      </c>
    </row>
    <row r="483">
      <c r="L483">
        <f>IF(A483="","",F483*G483)</f>
        <v/>
      </c>
    </row>
    <row r="484">
      <c r="L484">
        <f>IF(A484="","",F484*G484)</f>
        <v/>
      </c>
    </row>
    <row r="485">
      <c r="L485">
        <f>IF(A485="","",F485*G485)</f>
        <v/>
      </c>
    </row>
    <row r="486">
      <c r="L486">
        <f>IF(A486="","",F486*G486)</f>
        <v/>
      </c>
    </row>
    <row r="487">
      <c r="L487">
        <f>IF(A487="","",F487*G487)</f>
        <v/>
      </c>
    </row>
    <row r="488">
      <c r="L488">
        <f>IF(A488="","",F488*G488)</f>
        <v/>
      </c>
    </row>
    <row r="489">
      <c r="L489">
        <f>IF(A489="","",F489*G489)</f>
        <v/>
      </c>
    </row>
    <row r="490">
      <c r="L490">
        <f>IF(A490="","",F490*G490)</f>
        <v/>
      </c>
    </row>
    <row r="491">
      <c r="L491">
        <f>IF(A491="","",F491*G491)</f>
        <v/>
      </c>
    </row>
    <row r="492">
      <c r="L492">
        <f>IF(A492="","",F492*G492)</f>
        <v/>
      </c>
    </row>
    <row r="493">
      <c r="L493">
        <f>IF(A493="","",F493*G493)</f>
        <v/>
      </c>
    </row>
    <row r="494">
      <c r="L494">
        <f>IF(A494="","",F494*G494)</f>
        <v/>
      </c>
    </row>
    <row r="495">
      <c r="L495">
        <f>IF(A495="","",F495*G495)</f>
        <v/>
      </c>
    </row>
    <row r="496">
      <c r="L496">
        <f>IF(A496="","",F496*G496)</f>
        <v/>
      </c>
    </row>
    <row r="497">
      <c r="L497">
        <f>IF(A497="","",F497*G497)</f>
        <v/>
      </c>
    </row>
    <row r="498">
      <c r="L498">
        <f>IF(A498="","",F498*G498)</f>
        <v/>
      </c>
    </row>
    <row r="499">
      <c r="L499">
        <f>IF(A499="","",F499*G499)</f>
        <v/>
      </c>
    </row>
    <row r="500">
      <c r="L500">
        <f>IF(A500="","",F500*G500)</f>
        <v/>
      </c>
    </row>
    <row r="501">
      <c r="L501">
        <f>IF(A501="","",F501*G501)</f>
        <v/>
      </c>
    </row>
  </sheetData>
  <dataValidations count="1">
    <dataValidation sqref="I2:I501" showDropDown="0" showInputMessage="0" showErrorMessage="0" allowBlank="1" type="list">
      <formula1>"cash,upi,whatsapp,bank"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4" customWidth="1" min="4" max="4"/>
    <col width="14" customWidth="1" min="5" max="5"/>
    <col width="36" customWidth="1" min="6" max="6"/>
  </cols>
  <sheetData>
    <row r="1">
      <c r="A1" s="2" t="inlineStr">
        <is>
          <t>Expense_ID</t>
        </is>
      </c>
      <c r="B1" s="2" t="inlineStr">
        <is>
          <t>Lot_ID</t>
        </is>
      </c>
      <c r="C1" s="2" t="inlineStr">
        <is>
          <t>Type</t>
        </is>
      </c>
      <c r="D1" s="2" t="inlineStr">
        <is>
          <t>Amount</t>
        </is>
      </c>
      <c r="E1" s="2" t="inlineStr">
        <is>
          <t>Date</t>
        </is>
      </c>
      <c r="F1" s="2" t="inlineStr">
        <is>
          <t>Note</t>
        </is>
      </c>
    </row>
  </sheetData>
  <dataValidations count="1">
    <dataValidation sqref="C2:C501" showDropDown="0" showInputMessage="0" showErrorMessage="0" allowBlank="1" type="list">
      <formula1>"Transport,Packaging,Loading/Unloading,Tax,Other"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36" customWidth="1" min="5" max="5"/>
  </cols>
  <sheetData>
    <row r="1">
      <c r="A1" s="2" t="inlineStr">
        <is>
          <t>Overhead_ID</t>
        </is>
      </c>
      <c r="B1" s="2" t="inlineStr">
        <is>
          <t>Month</t>
        </is>
      </c>
      <c r="C1" s="2" t="inlineStr">
        <is>
          <t>Type</t>
        </is>
      </c>
      <c r="D1" s="2" t="inlineStr">
        <is>
          <t>Amount</t>
        </is>
      </c>
      <c r="E1" s="2" t="inlineStr">
        <is>
          <t>Note</t>
        </is>
      </c>
    </row>
  </sheetData>
  <dataValidations count="1">
    <dataValidation sqref="C2:C501" showDropDown="0" showInputMessage="0" showErrorMessage="0" allowBlank="1" type="list">
      <formula1>"rent,electricity,staff,other"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0" customWidth="1" min="5" max="5"/>
    <col width="12" customWidth="1" min="6" max="6"/>
    <col width="12" customWidth="1" min="7" max="7"/>
    <col width="60" customWidth="1" min="8" max="8"/>
  </cols>
  <sheetData>
    <row r="1">
      <c r="A1" s="2" t="inlineStr">
        <is>
          <t>Quote_ID</t>
        </is>
      </c>
      <c r="B1" s="2" t="inlineStr">
        <is>
          <t>Created_At</t>
        </is>
      </c>
      <c r="C1" s="2" t="inlineStr">
        <is>
          <t>Customer_Name</t>
        </is>
      </c>
      <c r="D1" s="2" t="inlineStr">
        <is>
          <t>Customer_Phone</t>
        </is>
      </c>
      <c r="E1" s="2" t="inlineStr">
        <is>
          <t>Language</t>
        </is>
      </c>
      <c r="F1" s="2" t="inlineStr">
        <is>
          <t>Status</t>
        </is>
      </c>
      <c r="G1" s="2" t="inlineStr">
        <is>
          <t>Total</t>
        </is>
      </c>
      <c r="H1" s="2" t="inlineStr">
        <is>
          <t>Items_JSON</t>
        </is>
      </c>
    </row>
  </sheetData>
  <dataValidations count="1">
    <dataValidation sqref="F2:F501" showDropDown="0" showInputMessage="0" showErrorMessage="0" allowBlank="1" type="list">
      <formula1>"draft,sent,accepted,expired"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18" customWidth="1" min="8" max="8"/>
  </cols>
  <sheetData>
    <row r="1">
      <c r="A1" s="2" t="inlineStr">
        <is>
          <t>Product_ID</t>
        </is>
      </c>
      <c r="B1" s="2" t="inlineStr">
        <is>
          <t>Product Name (English)</t>
        </is>
      </c>
      <c r="C1" s="2" t="inlineStr">
        <is>
          <t>Total Received</t>
        </is>
      </c>
      <c r="D1" s="2" t="inlineStr">
        <is>
          <t>Total Sold</t>
        </is>
      </c>
      <c r="E1" s="2" t="inlineStr">
        <is>
          <t>Remaining</t>
        </is>
      </c>
      <c r="F1" s="2" t="inlineStr">
        <is>
          <t>Last Sale Date</t>
        </is>
      </c>
      <c r="G1" s="2" t="inlineStr">
        <is>
          <t>Days Since Last Sale</t>
        </is>
      </c>
      <c r="H1" s="2" t="inlineStr">
        <is>
          <t>Stock Status</t>
        </is>
      </c>
    </row>
    <row r="2">
      <c r="A2">
        <f>IF(Products!A2="","",Products!A2)</f>
        <v/>
      </c>
      <c r="B2">
        <f>IF(A2="","",Products!C2)</f>
        <v/>
      </c>
      <c r="C2">
        <f>IF(A2="","",SUMIFS(Lots!F:F,Lots!B:B,A2))</f>
        <v/>
      </c>
      <c r="D2">
        <f>IF(A2="","",SUMIFS(Sales!F:F,Sales!D:D,A2))</f>
        <v/>
      </c>
      <c r="E2">
        <f>IF(A2="","",C2-D2)</f>
        <v/>
      </c>
      <c r="F2" s="3">
        <f>IF(A2="","",IF(D2=0,"",_xlfn.MAXIFS(Sales!C:C,Sales!D:D,A2)))</f>
        <v/>
      </c>
      <c r="G2">
        <f>IF(A2="","",IF(F2="","",TODAY()-F2))</f>
        <v/>
      </c>
      <c r="H2">
        <f>IF(A2="","",IF(E2&lt;=0,"Out of stock",IF(E2&lt;=5,"Low stock",IF(AND(G2&lt;&gt;"",G2&gt;=30),"Slow moving","OK"))))</f>
        <v/>
      </c>
    </row>
    <row r="3">
      <c r="A3">
        <f>IF(Products!A3="","",Products!A3)</f>
        <v/>
      </c>
      <c r="B3">
        <f>IF(A3="","",Products!C3)</f>
        <v/>
      </c>
      <c r="C3">
        <f>IF(A3="","",SUMIFS(Lots!F:F,Lots!B:B,A3))</f>
        <v/>
      </c>
      <c r="D3">
        <f>IF(A3="","",SUMIFS(Sales!F:F,Sales!D:D,A3))</f>
        <v/>
      </c>
      <c r="E3">
        <f>IF(A3="","",C3-D3)</f>
        <v/>
      </c>
      <c r="F3" s="3">
        <f>IF(A3="","",IF(D3=0,"",_xlfn.MAXIFS(Sales!C:C,Sales!D:D,A3)))</f>
        <v/>
      </c>
      <c r="G3">
        <f>IF(A3="","",IF(F3="","",TODAY()-F3))</f>
        <v/>
      </c>
      <c r="H3">
        <f>IF(A3="","",IF(E3&lt;=0,"Out of stock",IF(E3&lt;=5,"Low stock",IF(AND(G3&lt;&gt;"",G3&gt;=30),"Slow moving","OK"))))</f>
        <v/>
      </c>
    </row>
    <row r="4">
      <c r="A4">
        <f>IF(Products!A4="","",Products!A4)</f>
        <v/>
      </c>
      <c r="B4">
        <f>IF(A4="","",Products!C4)</f>
        <v/>
      </c>
      <c r="C4">
        <f>IF(A4="","",SUMIFS(Lots!F:F,Lots!B:B,A4))</f>
        <v/>
      </c>
      <c r="D4">
        <f>IF(A4="","",SUMIFS(Sales!F:F,Sales!D:D,A4))</f>
        <v/>
      </c>
      <c r="E4">
        <f>IF(A4="","",C4-D4)</f>
        <v/>
      </c>
      <c r="F4" s="3">
        <f>IF(A4="","",IF(D4=0,"",_xlfn.MAXIFS(Sales!C:C,Sales!D:D,A4)))</f>
        <v/>
      </c>
      <c r="G4">
        <f>IF(A4="","",IF(F4="","",TODAY()-F4))</f>
        <v/>
      </c>
      <c r="H4">
        <f>IF(A4="","",IF(E4&lt;=0,"Out of stock",IF(E4&lt;=5,"Low stock",IF(AND(G4&lt;&gt;"",G4&gt;=30),"Slow moving","OK"))))</f>
        <v/>
      </c>
    </row>
    <row r="5">
      <c r="A5">
        <f>IF(Products!A5="","",Products!A5)</f>
        <v/>
      </c>
      <c r="B5">
        <f>IF(A5="","",Products!C5)</f>
        <v/>
      </c>
      <c r="C5">
        <f>IF(A5="","",SUMIFS(Lots!F:F,Lots!B:B,A5))</f>
        <v/>
      </c>
      <c r="D5">
        <f>IF(A5="","",SUMIFS(Sales!F:F,Sales!D:D,A5))</f>
        <v/>
      </c>
      <c r="E5">
        <f>IF(A5="","",C5-D5)</f>
        <v/>
      </c>
      <c r="F5" s="3">
        <f>IF(A5="","",IF(D5=0,"",_xlfn.MAXIFS(Sales!C:C,Sales!D:D,A5)))</f>
        <v/>
      </c>
      <c r="G5">
        <f>IF(A5="","",IF(F5="","",TODAY()-F5))</f>
        <v/>
      </c>
      <c r="H5">
        <f>IF(A5="","",IF(E5&lt;=0,"Out of stock",IF(E5&lt;=5,"Low stock",IF(AND(G5&lt;&gt;"",G5&gt;=30),"Slow moving","OK"))))</f>
        <v/>
      </c>
    </row>
    <row r="6">
      <c r="A6">
        <f>IF(Products!A6="","",Products!A6)</f>
        <v/>
      </c>
      <c r="B6">
        <f>IF(A6="","",Products!C6)</f>
        <v/>
      </c>
      <c r="C6">
        <f>IF(A6="","",SUMIFS(Lots!F:F,Lots!B:B,A6))</f>
        <v/>
      </c>
      <c r="D6">
        <f>IF(A6="","",SUMIFS(Sales!F:F,Sales!D:D,A6))</f>
        <v/>
      </c>
      <c r="E6">
        <f>IF(A6="","",C6-D6)</f>
        <v/>
      </c>
      <c r="F6" s="3">
        <f>IF(A6="","",IF(D6=0,"",_xlfn.MAXIFS(Sales!C:C,Sales!D:D,A6)))</f>
        <v/>
      </c>
      <c r="G6">
        <f>IF(A6="","",IF(F6="","",TODAY()-F6))</f>
        <v/>
      </c>
      <c r="H6">
        <f>IF(A6="","",IF(E6&lt;=0,"Out of stock",IF(E6&lt;=5,"Low stock",IF(AND(G6&lt;&gt;"",G6&gt;=30),"Slow moving","OK"))))</f>
        <v/>
      </c>
    </row>
    <row r="7">
      <c r="A7">
        <f>IF(Products!A7="","",Products!A7)</f>
        <v/>
      </c>
      <c r="B7">
        <f>IF(A7="","",Products!C7)</f>
        <v/>
      </c>
      <c r="C7">
        <f>IF(A7="","",SUMIFS(Lots!F:F,Lots!B:B,A7))</f>
        <v/>
      </c>
      <c r="D7">
        <f>IF(A7="","",SUMIFS(Sales!F:F,Sales!D:D,A7))</f>
        <v/>
      </c>
      <c r="E7">
        <f>IF(A7="","",C7-D7)</f>
        <v/>
      </c>
      <c r="F7" s="3">
        <f>IF(A7="","",IF(D7=0,"",_xlfn.MAXIFS(Sales!C:C,Sales!D:D,A7)))</f>
        <v/>
      </c>
      <c r="G7">
        <f>IF(A7="","",IF(F7="","",TODAY()-F7))</f>
        <v/>
      </c>
      <c r="H7">
        <f>IF(A7="","",IF(E7&lt;=0,"Out of stock",IF(E7&lt;=5,"Low stock",IF(AND(G7&lt;&gt;"",G7&gt;=30),"Slow moving","OK"))))</f>
        <v/>
      </c>
    </row>
    <row r="8">
      <c r="A8">
        <f>IF(Products!A8="","",Products!A8)</f>
        <v/>
      </c>
      <c r="B8">
        <f>IF(A8="","",Products!C8)</f>
        <v/>
      </c>
      <c r="C8">
        <f>IF(A8="","",SUMIFS(Lots!F:F,Lots!B:B,A8))</f>
        <v/>
      </c>
      <c r="D8">
        <f>IF(A8="","",SUMIFS(Sales!F:F,Sales!D:D,A8))</f>
        <v/>
      </c>
      <c r="E8">
        <f>IF(A8="","",C8-D8)</f>
        <v/>
      </c>
      <c r="F8" s="3">
        <f>IF(A8="","",IF(D8=0,"",_xlfn.MAXIFS(Sales!C:C,Sales!D:D,A8)))</f>
        <v/>
      </c>
      <c r="G8">
        <f>IF(A8="","",IF(F8="","",TODAY()-F8))</f>
        <v/>
      </c>
      <c r="H8">
        <f>IF(A8="","",IF(E8&lt;=0,"Out of stock",IF(E8&lt;=5,"Low stock",IF(AND(G8&lt;&gt;"",G8&gt;=30),"Slow moving","OK"))))</f>
        <v/>
      </c>
    </row>
    <row r="9">
      <c r="A9">
        <f>IF(Products!A9="","",Products!A9)</f>
        <v/>
      </c>
      <c r="B9">
        <f>IF(A9="","",Products!C9)</f>
        <v/>
      </c>
      <c r="C9">
        <f>IF(A9="","",SUMIFS(Lots!F:F,Lots!B:B,A9))</f>
        <v/>
      </c>
      <c r="D9">
        <f>IF(A9="","",SUMIFS(Sales!F:F,Sales!D:D,A9))</f>
        <v/>
      </c>
      <c r="E9">
        <f>IF(A9="","",C9-D9)</f>
        <v/>
      </c>
      <c r="F9" s="3">
        <f>IF(A9="","",IF(D9=0,"",_xlfn.MAXIFS(Sales!C:C,Sales!D:D,A9)))</f>
        <v/>
      </c>
      <c r="G9">
        <f>IF(A9="","",IF(F9="","",TODAY()-F9))</f>
        <v/>
      </c>
      <c r="H9">
        <f>IF(A9="","",IF(E9&lt;=0,"Out of stock",IF(E9&lt;=5,"Low stock",IF(AND(G9&lt;&gt;"",G9&gt;=30),"Slow moving","OK"))))</f>
        <v/>
      </c>
    </row>
    <row r="10">
      <c r="A10">
        <f>IF(Products!A10="","",Products!A10)</f>
        <v/>
      </c>
      <c r="B10">
        <f>IF(A10="","",Products!C10)</f>
        <v/>
      </c>
      <c r="C10">
        <f>IF(A10="","",SUMIFS(Lots!F:F,Lots!B:B,A10))</f>
        <v/>
      </c>
      <c r="D10">
        <f>IF(A10="","",SUMIFS(Sales!F:F,Sales!D:D,A10))</f>
        <v/>
      </c>
      <c r="E10">
        <f>IF(A10="","",C10-D10)</f>
        <v/>
      </c>
      <c r="F10" s="3">
        <f>IF(A10="","",IF(D10=0,"",_xlfn.MAXIFS(Sales!C:C,Sales!D:D,A10)))</f>
        <v/>
      </c>
      <c r="G10">
        <f>IF(A10="","",IF(F10="","",TODAY()-F10))</f>
        <v/>
      </c>
      <c r="H10">
        <f>IF(A10="","",IF(E10&lt;=0,"Out of stock",IF(E10&lt;=5,"Low stock",IF(AND(G10&lt;&gt;"",G10&gt;=30),"Slow moving","OK"))))</f>
        <v/>
      </c>
    </row>
    <row r="11">
      <c r="A11">
        <f>IF(Products!A11="","",Products!A11)</f>
        <v/>
      </c>
      <c r="B11">
        <f>IF(A11="","",Products!C11)</f>
        <v/>
      </c>
      <c r="C11">
        <f>IF(A11="","",SUMIFS(Lots!F:F,Lots!B:B,A11))</f>
        <v/>
      </c>
      <c r="D11">
        <f>IF(A11="","",SUMIFS(Sales!F:F,Sales!D:D,A11))</f>
        <v/>
      </c>
      <c r="E11">
        <f>IF(A11="","",C11-D11)</f>
        <v/>
      </c>
      <c r="F11" s="3">
        <f>IF(A11="","",IF(D11=0,"",_xlfn.MAXIFS(Sales!C:C,Sales!D:D,A11)))</f>
        <v/>
      </c>
      <c r="G11">
        <f>IF(A11="","",IF(F11="","",TODAY()-F11))</f>
        <v/>
      </c>
      <c r="H11">
        <f>IF(A11="","",IF(E11&lt;=0,"Out of stock",IF(E11&lt;=5,"Low stock",IF(AND(G11&lt;&gt;"",G11&gt;=30),"Slow moving","OK"))))</f>
        <v/>
      </c>
    </row>
    <row r="12">
      <c r="A12">
        <f>IF(Products!A12="","",Products!A12)</f>
        <v/>
      </c>
      <c r="B12">
        <f>IF(A12="","",Products!C12)</f>
        <v/>
      </c>
      <c r="C12">
        <f>IF(A12="","",SUMIFS(Lots!F:F,Lots!B:B,A12))</f>
        <v/>
      </c>
      <c r="D12">
        <f>IF(A12="","",SUMIFS(Sales!F:F,Sales!D:D,A12))</f>
        <v/>
      </c>
      <c r="E12">
        <f>IF(A12="","",C12-D12)</f>
        <v/>
      </c>
      <c r="F12" s="3">
        <f>IF(A12="","",IF(D12=0,"",_xlfn.MAXIFS(Sales!C:C,Sales!D:D,A12)))</f>
        <v/>
      </c>
      <c r="G12">
        <f>IF(A12="","",IF(F12="","",TODAY()-F12))</f>
        <v/>
      </c>
      <c r="H12">
        <f>IF(A12="","",IF(E12&lt;=0,"Out of stock",IF(E12&lt;=5,"Low stock",IF(AND(G12&lt;&gt;"",G12&gt;=30),"Slow moving","OK"))))</f>
        <v/>
      </c>
    </row>
    <row r="13">
      <c r="A13">
        <f>IF(Products!A13="","",Products!A13)</f>
        <v/>
      </c>
      <c r="B13">
        <f>IF(A13="","",Products!C13)</f>
        <v/>
      </c>
      <c r="C13">
        <f>IF(A13="","",SUMIFS(Lots!F:F,Lots!B:B,A13))</f>
        <v/>
      </c>
      <c r="D13">
        <f>IF(A13="","",SUMIFS(Sales!F:F,Sales!D:D,A13))</f>
        <v/>
      </c>
      <c r="E13">
        <f>IF(A13="","",C13-D13)</f>
        <v/>
      </c>
      <c r="F13" s="3">
        <f>IF(A13="","",IF(D13=0,"",_xlfn.MAXIFS(Sales!C:C,Sales!D:D,A13)))</f>
        <v/>
      </c>
      <c r="G13">
        <f>IF(A13="","",IF(F13="","",TODAY()-F13))</f>
        <v/>
      </c>
      <c r="H13">
        <f>IF(A13="","",IF(E13&lt;=0,"Out of stock",IF(E13&lt;=5,"Low stock",IF(AND(G13&lt;&gt;"",G13&gt;=30),"Slow moving","OK"))))</f>
        <v/>
      </c>
    </row>
    <row r="14">
      <c r="A14">
        <f>IF(Products!A14="","",Products!A14)</f>
        <v/>
      </c>
      <c r="B14">
        <f>IF(A14="","",Products!C14)</f>
        <v/>
      </c>
      <c r="C14">
        <f>IF(A14="","",SUMIFS(Lots!F:F,Lots!B:B,A14))</f>
        <v/>
      </c>
      <c r="D14">
        <f>IF(A14="","",SUMIFS(Sales!F:F,Sales!D:D,A14))</f>
        <v/>
      </c>
      <c r="E14">
        <f>IF(A14="","",C14-D14)</f>
        <v/>
      </c>
      <c r="F14" s="3">
        <f>IF(A14="","",IF(D14=0,"",_xlfn.MAXIFS(Sales!C:C,Sales!D:D,A14)))</f>
        <v/>
      </c>
      <c r="G14">
        <f>IF(A14="","",IF(F14="","",TODAY()-F14))</f>
        <v/>
      </c>
      <c r="H14">
        <f>IF(A14="","",IF(E14&lt;=0,"Out of stock",IF(E14&lt;=5,"Low stock",IF(AND(G14&lt;&gt;"",G14&gt;=30),"Slow moving","OK"))))</f>
        <v/>
      </c>
    </row>
    <row r="15">
      <c r="A15">
        <f>IF(Products!A15="","",Products!A15)</f>
        <v/>
      </c>
      <c r="B15">
        <f>IF(A15="","",Products!C15)</f>
        <v/>
      </c>
      <c r="C15">
        <f>IF(A15="","",SUMIFS(Lots!F:F,Lots!B:B,A15))</f>
        <v/>
      </c>
      <c r="D15">
        <f>IF(A15="","",SUMIFS(Sales!F:F,Sales!D:D,A15))</f>
        <v/>
      </c>
      <c r="E15">
        <f>IF(A15="","",C15-D15)</f>
        <v/>
      </c>
      <c r="F15" s="3">
        <f>IF(A15="","",IF(D15=0,"",_xlfn.MAXIFS(Sales!C:C,Sales!D:D,A15)))</f>
        <v/>
      </c>
      <c r="G15">
        <f>IF(A15="","",IF(F15="","",TODAY()-F15))</f>
        <v/>
      </c>
      <c r="H15">
        <f>IF(A15="","",IF(E15&lt;=0,"Out of stock",IF(E15&lt;=5,"Low stock",IF(AND(G15&lt;&gt;"",G15&gt;=30),"Slow moving","OK"))))</f>
        <v/>
      </c>
    </row>
    <row r="16">
      <c r="A16">
        <f>IF(Products!A16="","",Products!A16)</f>
        <v/>
      </c>
      <c r="B16">
        <f>IF(A16="","",Products!C16)</f>
        <v/>
      </c>
      <c r="C16">
        <f>IF(A16="","",SUMIFS(Lots!F:F,Lots!B:B,A16))</f>
        <v/>
      </c>
      <c r="D16">
        <f>IF(A16="","",SUMIFS(Sales!F:F,Sales!D:D,A16))</f>
        <v/>
      </c>
      <c r="E16">
        <f>IF(A16="","",C16-D16)</f>
        <v/>
      </c>
      <c r="F16" s="3">
        <f>IF(A16="","",IF(D16=0,"",_xlfn.MAXIFS(Sales!C:C,Sales!D:D,A16)))</f>
        <v/>
      </c>
      <c r="G16">
        <f>IF(A16="","",IF(F16="","",TODAY()-F16))</f>
        <v/>
      </c>
      <c r="H16">
        <f>IF(A16="","",IF(E16&lt;=0,"Out of stock",IF(E16&lt;=5,"Low stock",IF(AND(G16&lt;&gt;"",G16&gt;=30),"Slow moving","OK"))))</f>
        <v/>
      </c>
    </row>
    <row r="17">
      <c r="A17">
        <f>IF(Products!A17="","",Products!A17)</f>
        <v/>
      </c>
      <c r="B17">
        <f>IF(A17="","",Products!C17)</f>
        <v/>
      </c>
      <c r="C17">
        <f>IF(A17="","",SUMIFS(Lots!F:F,Lots!B:B,A17))</f>
        <v/>
      </c>
      <c r="D17">
        <f>IF(A17="","",SUMIFS(Sales!F:F,Sales!D:D,A17))</f>
        <v/>
      </c>
      <c r="E17">
        <f>IF(A17="","",C17-D17)</f>
        <v/>
      </c>
      <c r="F17" s="3">
        <f>IF(A17="","",IF(D17=0,"",_xlfn.MAXIFS(Sales!C:C,Sales!D:D,A17)))</f>
        <v/>
      </c>
      <c r="G17">
        <f>IF(A17="","",IF(F17="","",TODAY()-F17))</f>
        <v/>
      </c>
      <c r="H17">
        <f>IF(A17="","",IF(E17&lt;=0,"Out of stock",IF(E17&lt;=5,"Low stock",IF(AND(G17&lt;&gt;"",G17&gt;=30),"Slow moving","OK"))))</f>
        <v/>
      </c>
    </row>
    <row r="18">
      <c r="A18">
        <f>IF(Products!A18="","",Products!A18)</f>
        <v/>
      </c>
      <c r="B18">
        <f>IF(A18="","",Products!C18)</f>
        <v/>
      </c>
      <c r="C18">
        <f>IF(A18="","",SUMIFS(Lots!F:F,Lots!B:B,A18))</f>
        <v/>
      </c>
      <c r="D18">
        <f>IF(A18="","",SUMIFS(Sales!F:F,Sales!D:D,A18))</f>
        <v/>
      </c>
      <c r="E18">
        <f>IF(A18="","",C18-D18)</f>
        <v/>
      </c>
      <c r="F18" s="3">
        <f>IF(A18="","",IF(D18=0,"",_xlfn.MAXIFS(Sales!C:C,Sales!D:D,A18)))</f>
        <v/>
      </c>
      <c r="G18">
        <f>IF(A18="","",IF(F18="","",TODAY()-F18))</f>
        <v/>
      </c>
      <c r="H18">
        <f>IF(A18="","",IF(E18&lt;=0,"Out of stock",IF(E18&lt;=5,"Low stock",IF(AND(G18&lt;&gt;"",G18&gt;=30),"Slow moving","OK"))))</f>
        <v/>
      </c>
    </row>
    <row r="19">
      <c r="A19">
        <f>IF(Products!A19="","",Products!A19)</f>
        <v/>
      </c>
      <c r="B19">
        <f>IF(A19="","",Products!C19)</f>
        <v/>
      </c>
      <c r="C19">
        <f>IF(A19="","",SUMIFS(Lots!F:F,Lots!B:B,A19))</f>
        <v/>
      </c>
      <c r="D19">
        <f>IF(A19="","",SUMIFS(Sales!F:F,Sales!D:D,A19))</f>
        <v/>
      </c>
      <c r="E19">
        <f>IF(A19="","",C19-D19)</f>
        <v/>
      </c>
      <c r="F19" s="3">
        <f>IF(A19="","",IF(D19=0,"",_xlfn.MAXIFS(Sales!C:C,Sales!D:D,A19)))</f>
        <v/>
      </c>
      <c r="G19">
        <f>IF(A19="","",IF(F19="","",TODAY()-F19))</f>
        <v/>
      </c>
      <c r="H19">
        <f>IF(A19="","",IF(E19&lt;=0,"Out of stock",IF(E19&lt;=5,"Low stock",IF(AND(G19&lt;&gt;"",G19&gt;=30),"Slow moving","OK"))))</f>
        <v/>
      </c>
    </row>
    <row r="20">
      <c r="A20">
        <f>IF(Products!A20="","",Products!A20)</f>
        <v/>
      </c>
      <c r="B20">
        <f>IF(A20="","",Products!C20)</f>
        <v/>
      </c>
      <c r="C20">
        <f>IF(A20="","",SUMIFS(Lots!F:F,Lots!B:B,A20))</f>
        <v/>
      </c>
      <c r="D20">
        <f>IF(A20="","",SUMIFS(Sales!F:F,Sales!D:D,A20))</f>
        <v/>
      </c>
      <c r="E20">
        <f>IF(A20="","",C20-D20)</f>
        <v/>
      </c>
      <c r="F20" s="3">
        <f>IF(A20="","",IF(D20=0,"",_xlfn.MAXIFS(Sales!C:C,Sales!D:D,A20)))</f>
        <v/>
      </c>
      <c r="G20">
        <f>IF(A20="","",IF(F20="","",TODAY()-F20))</f>
        <v/>
      </c>
      <c r="H20">
        <f>IF(A20="","",IF(E20&lt;=0,"Out of stock",IF(E20&lt;=5,"Low stock",IF(AND(G20&lt;&gt;"",G20&gt;=30),"Slow moving","OK"))))</f>
        <v/>
      </c>
    </row>
    <row r="21">
      <c r="A21">
        <f>IF(Products!A21="","",Products!A21)</f>
        <v/>
      </c>
      <c r="B21">
        <f>IF(A21="","",Products!C21)</f>
        <v/>
      </c>
      <c r="C21">
        <f>IF(A21="","",SUMIFS(Lots!F:F,Lots!B:B,A21))</f>
        <v/>
      </c>
      <c r="D21">
        <f>IF(A21="","",SUMIFS(Sales!F:F,Sales!D:D,A21))</f>
        <v/>
      </c>
      <c r="E21">
        <f>IF(A21="","",C21-D21)</f>
        <v/>
      </c>
      <c r="F21" s="3">
        <f>IF(A21="","",IF(D21=0,"",_xlfn.MAXIFS(Sales!C:C,Sales!D:D,A21)))</f>
        <v/>
      </c>
      <c r="G21">
        <f>IF(A21="","",IF(F21="","",TODAY()-F21))</f>
        <v/>
      </c>
      <c r="H21">
        <f>IF(A21="","",IF(E21&lt;=0,"Out of stock",IF(E21&lt;=5,"Low stock",IF(AND(G21&lt;&gt;"",G21&gt;=30),"Slow moving","OK"))))</f>
        <v/>
      </c>
    </row>
    <row r="22">
      <c r="A22">
        <f>IF(Products!A22="","",Products!A22)</f>
        <v/>
      </c>
      <c r="B22">
        <f>IF(A22="","",Products!C22)</f>
        <v/>
      </c>
      <c r="C22">
        <f>IF(A22="","",SUMIFS(Lots!F:F,Lots!B:B,A22))</f>
        <v/>
      </c>
      <c r="D22">
        <f>IF(A22="","",SUMIFS(Sales!F:F,Sales!D:D,A22))</f>
        <v/>
      </c>
      <c r="E22">
        <f>IF(A22="","",C22-D22)</f>
        <v/>
      </c>
      <c r="F22" s="3">
        <f>IF(A22="","",IF(D22=0,"",_xlfn.MAXIFS(Sales!C:C,Sales!D:D,A22)))</f>
        <v/>
      </c>
      <c r="G22">
        <f>IF(A22="","",IF(F22="","",TODAY()-F22))</f>
        <v/>
      </c>
      <c r="H22">
        <f>IF(A22="","",IF(E22&lt;=0,"Out of stock",IF(E22&lt;=5,"Low stock",IF(AND(G22&lt;&gt;"",G22&gt;=30),"Slow moving","OK"))))</f>
        <v/>
      </c>
    </row>
    <row r="23">
      <c r="A23">
        <f>IF(Products!A23="","",Products!A23)</f>
        <v/>
      </c>
      <c r="B23">
        <f>IF(A23="","",Products!C23)</f>
        <v/>
      </c>
      <c r="C23">
        <f>IF(A23="","",SUMIFS(Lots!F:F,Lots!B:B,A23))</f>
        <v/>
      </c>
      <c r="D23">
        <f>IF(A23="","",SUMIFS(Sales!F:F,Sales!D:D,A23))</f>
        <v/>
      </c>
      <c r="E23">
        <f>IF(A23="","",C23-D23)</f>
        <v/>
      </c>
      <c r="F23" s="3">
        <f>IF(A23="","",IF(D23=0,"",_xlfn.MAXIFS(Sales!C:C,Sales!D:D,A23)))</f>
        <v/>
      </c>
      <c r="G23">
        <f>IF(A23="","",IF(F23="","",TODAY()-F23))</f>
        <v/>
      </c>
      <c r="H23">
        <f>IF(A23="","",IF(E23&lt;=0,"Out of stock",IF(E23&lt;=5,"Low stock",IF(AND(G23&lt;&gt;"",G23&gt;=30),"Slow moving","OK"))))</f>
        <v/>
      </c>
    </row>
    <row r="24">
      <c r="A24">
        <f>IF(Products!A24="","",Products!A24)</f>
        <v/>
      </c>
      <c r="B24">
        <f>IF(A24="","",Products!C24)</f>
        <v/>
      </c>
      <c r="C24">
        <f>IF(A24="","",SUMIFS(Lots!F:F,Lots!B:B,A24))</f>
        <v/>
      </c>
      <c r="D24">
        <f>IF(A24="","",SUMIFS(Sales!F:F,Sales!D:D,A24))</f>
        <v/>
      </c>
      <c r="E24">
        <f>IF(A24="","",C24-D24)</f>
        <v/>
      </c>
      <c r="F24" s="3">
        <f>IF(A24="","",IF(D24=0,"",_xlfn.MAXIFS(Sales!C:C,Sales!D:D,A24)))</f>
        <v/>
      </c>
      <c r="G24">
        <f>IF(A24="","",IF(F24="","",TODAY()-F24))</f>
        <v/>
      </c>
      <c r="H24">
        <f>IF(A24="","",IF(E24&lt;=0,"Out of stock",IF(E24&lt;=5,"Low stock",IF(AND(G24&lt;&gt;"",G24&gt;=30),"Slow moving","OK"))))</f>
        <v/>
      </c>
    </row>
    <row r="25">
      <c r="A25">
        <f>IF(Products!A25="","",Products!A25)</f>
        <v/>
      </c>
      <c r="B25">
        <f>IF(A25="","",Products!C25)</f>
        <v/>
      </c>
      <c r="C25">
        <f>IF(A25="","",SUMIFS(Lots!F:F,Lots!B:B,A25))</f>
        <v/>
      </c>
      <c r="D25">
        <f>IF(A25="","",SUMIFS(Sales!F:F,Sales!D:D,A25))</f>
        <v/>
      </c>
      <c r="E25">
        <f>IF(A25="","",C25-D25)</f>
        <v/>
      </c>
      <c r="F25" s="3">
        <f>IF(A25="","",IF(D25=0,"",_xlfn.MAXIFS(Sales!C:C,Sales!D:D,A25)))</f>
        <v/>
      </c>
      <c r="G25">
        <f>IF(A25="","",IF(F25="","",TODAY()-F25))</f>
        <v/>
      </c>
      <c r="H25">
        <f>IF(A25="","",IF(E25&lt;=0,"Out of stock",IF(E25&lt;=5,"Low stock",IF(AND(G25&lt;&gt;"",G25&gt;=30),"Slow moving","OK"))))</f>
        <v/>
      </c>
    </row>
    <row r="26">
      <c r="A26">
        <f>IF(Products!A26="","",Products!A26)</f>
        <v/>
      </c>
      <c r="B26">
        <f>IF(A26="","",Products!C26)</f>
        <v/>
      </c>
      <c r="C26">
        <f>IF(A26="","",SUMIFS(Lots!F:F,Lots!B:B,A26))</f>
        <v/>
      </c>
      <c r="D26">
        <f>IF(A26="","",SUMIFS(Sales!F:F,Sales!D:D,A26))</f>
        <v/>
      </c>
      <c r="E26">
        <f>IF(A26="","",C26-D26)</f>
        <v/>
      </c>
      <c r="F26" s="3">
        <f>IF(A26="","",IF(D26=0,"",_xlfn.MAXIFS(Sales!C:C,Sales!D:D,A26)))</f>
        <v/>
      </c>
      <c r="G26">
        <f>IF(A26="","",IF(F26="","",TODAY()-F26))</f>
        <v/>
      </c>
      <c r="H26">
        <f>IF(A26="","",IF(E26&lt;=0,"Out of stock",IF(E26&lt;=5,"Low stock",IF(AND(G26&lt;&gt;"",G26&gt;=30),"Slow moving","OK"))))</f>
        <v/>
      </c>
    </row>
    <row r="27">
      <c r="A27">
        <f>IF(Products!A27="","",Products!A27)</f>
        <v/>
      </c>
      <c r="B27">
        <f>IF(A27="","",Products!C27)</f>
        <v/>
      </c>
      <c r="C27">
        <f>IF(A27="","",SUMIFS(Lots!F:F,Lots!B:B,A27))</f>
        <v/>
      </c>
      <c r="D27">
        <f>IF(A27="","",SUMIFS(Sales!F:F,Sales!D:D,A27))</f>
        <v/>
      </c>
      <c r="E27">
        <f>IF(A27="","",C27-D27)</f>
        <v/>
      </c>
      <c r="F27" s="3">
        <f>IF(A27="","",IF(D27=0,"",_xlfn.MAXIFS(Sales!C:C,Sales!D:D,A27)))</f>
        <v/>
      </c>
      <c r="G27">
        <f>IF(A27="","",IF(F27="","",TODAY()-F27))</f>
        <v/>
      </c>
      <c r="H27">
        <f>IF(A27="","",IF(E27&lt;=0,"Out of stock",IF(E27&lt;=5,"Low stock",IF(AND(G27&lt;&gt;"",G27&gt;=30),"Slow moving","OK"))))</f>
        <v/>
      </c>
    </row>
    <row r="28">
      <c r="A28">
        <f>IF(Products!A28="","",Products!A28)</f>
        <v/>
      </c>
      <c r="B28">
        <f>IF(A28="","",Products!C28)</f>
        <v/>
      </c>
      <c r="C28">
        <f>IF(A28="","",SUMIFS(Lots!F:F,Lots!B:B,A28))</f>
        <v/>
      </c>
      <c r="D28">
        <f>IF(A28="","",SUMIFS(Sales!F:F,Sales!D:D,A28))</f>
        <v/>
      </c>
      <c r="E28">
        <f>IF(A28="","",C28-D28)</f>
        <v/>
      </c>
      <c r="F28" s="3">
        <f>IF(A28="","",IF(D28=0,"",_xlfn.MAXIFS(Sales!C:C,Sales!D:D,A28)))</f>
        <v/>
      </c>
      <c r="G28">
        <f>IF(A28="","",IF(F28="","",TODAY()-F28))</f>
        <v/>
      </c>
      <c r="H28">
        <f>IF(A28="","",IF(E28&lt;=0,"Out of stock",IF(E28&lt;=5,"Low stock",IF(AND(G28&lt;&gt;"",G28&gt;=30),"Slow moving","OK"))))</f>
        <v/>
      </c>
    </row>
    <row r="29">
      <c r="A29">
        <f>IF(Products!A29="","",Products!A29)</f>
        <v/>
      </c>
      <c r="B29">
        <f>IF(A29="","",Products!C29)</f>
        <v/>
      </c>
      <c r="C29">
        <f>IF(A29="","",SUMIFS(Lots!F:F,Lots!B:B,A29))</f>
        <v/>
      </c>
      <c r="D29">
        <f>IF(A29="","",SUMIFS(Sales!F:F,Sales!D:D,A29))</f>
        <v/>
      </c>
      <c r="E29">
        <f>IF(A29="","",C29-D29)</f>
        <v/>
      </c>
      <c r="F29" s="3">
        <f>IF(A29="","",IF(D29=0,"",_xlfn.MAXIFS(Sales!C:C,Sales!D:D,A29)))</f>
        <v/>
      </c>
      <c r="G29">
        <f>IF(A29="","",IF(F29="","",TODAY()-F29))</f>
        <v/>
      </c>
      <c r="H29">
        <f>IF(A29="","",IF(E29&lt;=0,"Out of stock",IF(E29&lt;=5,"Low stock",IF(AND(G29&lt;&gt;"",G29&gt;=30),"Slow moving","OK"))))</f>
        <v/>
      </c>
    </row>
    <row r="30">
      <c r="A30">
        <f>IF(Products!A30="","",Products!A30)</f>
        <v/>
      </c>
      <c r="B30">
        <f>IF(A30="","",Products!C30)</f>
        <v/>
      </c>
      <c r="C30">
        <f>IF(A30="","",SUMIFS(Lots!F:F,Lots!B:B,A30))</f>
        <v/>
      </c>
      <c r="D30">
        <f>IF(A30="","",SUMIFS(Sales!F:F,Sales!D:D,A30))</f>
        <v/>
      </c>
      <c r="E30">
        <f>IF(A30="","",C30-D30)</f>
        <v/>
      </c>
      <c r="F30" s="3">
        <f>IF(A30="","",IF(D30=0,"",_xlfn.MAXIFS(Sales!C:C,Sales!D:D,A30)))</f>
        <v/>
      </c>
      <c r="G30">
        <f>IF(A30="","",IF(F30="","",TODAY()-F30))</f>
        <v/>
      </c>
      <c r="H30">
        <f>IF(A30="","",IF(E30&lt;=0,"Out of stock",IF(E30&lt;=5,"Low stock",IF(AND(G30&lt;&gt;"",G30&gt;=30),"Slow moving","OK"))))</f>
        <v/>
      </c>
    </row>
    <row r="31">
      <c r="A31">
        <f>IF(Products!A31="","",Products!A31)</f>
        <v/>
      </c>
      <c r="B31">
        <f>IF(A31="","",Products!C31)</f>
        <v/>
      </c>
      <c r="C31">
        <f>IF(A31="","",SUMIFS(Lots!F:F,Lots!B:B,A31))</f>
        <v/>
      </c>
      <c r="D31">
        <f>IF(A31="","",SUMIFS(Sales!F:F,Sales!D:D,A31))</f>
        <v/>
      </c>
      <c r="E31">
        <f>IF(A31="","",C31-D31)</f>
        <v/>
      </c>
      <c r="F31" s="3">
        <f>IF(A31="","",IF(D31=0,"",_xlfn.MAXIFS(Sales!C:C,Sales!D:D,A31)))</f>
        <v/>
      </c>
      <c r="G31">
        <f>IF(A31="","",IF(F31="","",TODAY()-F31))</f>
        <v/>
      </c>
      <c r="H31">
        <f>IF(A31="","",IF(E31&lt;=0,"Out of stock",IF(E31&lt;=5,"Low stock",IF(AND(G31&lt;&gt;"",G31&gt;=30),"Slow moving","OK"))))</f>
        <v/>
      </c>
    </row>
    <row r="32">
      <c r="A32">
        <f>IF(Products!A32="","",Products!A32)</f>
        <v/>
      </c>
      <c r="B32">
        <f>IF(A32="","",Products!C32)</f>
        <v/>
      </c>
      <c r="C32">
        <f>IF(A32="","",SUMIFS(Lots!F:F,Lots!B:B,A32))</f>
        <v/>
      </c>
      <c r="D32">
        <f>IF(A32="","",SUMIFS(Sales!F:F,Sales!D:D,A32))</f>
        <v/>
      </c>
      <c r="E32">
        <f>IF(A32="","",C32-D32)</f>
        <v/>
      </c>
      <c r="F32" s="3">
        <f>IF(A32="","",IF(D32=0,"",_xlfn.MAXIFS(Sales!C:C,Sales!D:D,A32)))</f>
        <v/>
      </c>
      <c r="G32">
        <f>IF(A32="","",IF(F32="","",TODAY()-F32))</f>
        <v/>
      </c>
      <c r="H32">
        <f>IF(A32="","",IF(E32&lt;=0,"Out of stock",IF(E32&lt;=5,"Low stock",IF(AND(G32&lt;&gt;"",G32&gt;=30),"Slow moving","OK"))))</f>
        <v/>
      </c>
    </row>
    <row r="33">
      <c r="A33">
        <f>IF(Products!A33="","",Products!A33)</f>
        <v/>
      </c>
      <c r="B33">
        <f>IF(A33="","",Products!C33)</f>
        <v/>
      </c>
      <c r="C33">
        <f>IF(A33="","",SUMIFS(Lots!F:F,Lots!B:B,A33))</f>
        <v/>
      </c>
      <c r="D33">
        <f>IF(A33="","",SUMIFS(Sales!F:F,Sales!D:D,A33))</f>
        <v/>
      </c>
      <c r="E33">
        <f>IF(A33="","",C33-D33)</f>
        <v/>
      </c>
      <c r="F33" s="3">
        <f>IF(A33="","",IF(D33=0,"",_xlfn.MAXIFS(Sales!C:C,Sales!D:D,A33)))</f>
        <v/>
      </c>
      <c r="G33">
        <f>IF(A33="","",IF(F33="","",TODAY()-F33))</f>
        <v/>
      </c>
      <c r="H33">
        <f>IF(A33="","",IF(E33&lt;=0,"Out of stock",IF(E33&lt;=5,"Low stock",IF(AND(G33&lt;&gt;"",G33&gt;=30),"Slow moving","OK"))))</f>
        <v/>
      </c>
    </row>
    <row r="34">
      <c r="A34">
        <f>IF(Products!A34="","",Products!A34)</f>
        <v/>
      </c>
      <c r="B34">
        <f>IF(A34="","",Products!C34)</f>
        <v/>
      </c>
      <c r="C34">
        <f>IF(A34="","",SUMIFS(Lots!F:F,Lots!B:B,A34))</f>
        <v/>
      </c>
      <c r="D34">
        <f>IF(A34="","",SUMIFS(Sales!F:F,Sales!D:D,A34))</f>
        <v/>
      </c>
      <c r="E34">
        <f>IF(A34="","",C34-D34)</f>
        <v/>
      </c>
      <c r="F34" s="3">
        <f>IF(A34="","",IF(D34=0,"",_xlfn.MAXIFS(Sales!C:C,Sales!D:D,A34)))</f>
        <v/>
      </c>
      <c r="G34">
        <f>IF(A34="","",IF(F34="","",TODAY()-F34))</f>
        <v/>
      </c>
      <c r="H34">
        <f>IF(A34="","",IF(E34&lt;=0,"Out of stock",IF(E34&lt;=5,"Low stock",IF(AND(G34&lt;&gt;"",G34&gt;=30),"Slow moving","OK"))))</f>
        <v/>
      </c>
    </row>
    <row r="35">
      <c r="A35">
        <f>IF(Products!A35="","",Products!A35)</f>
        <v/>
      </c>
      <c r="B35">
        <f>IF(A35="","",Products!C35)</f>
        <v/>
      </c>
      <c r="C35">
        <f>IF(A35="","",SUMIFS(Lots!F:F,Lots!B:B,A35))</f>
        <v/>
      </c>
      <c r="D35">
        <f>IF(A35="","",SUMIFS(Sales!F:F,Sales!D:D,A35))</f>
        <v/>
      </c>
      <c r="E35">
        <f>IF(A35="","",C35-D35)</f>
        <v/>
      </c>
      <c r="F35" s="3">
        <f>IF(A35="","",IF(D35=0,"",_xlfn.MAXIFS(Sales!C:C,Sales!D:D,A35)))</f>
        <v/>
      </c>
      <c r="G35">
        <f>IF(A35="","",IF(F35="","",TODAY()-F35))</f>
        <v/>
      </c>
      <c r="H35">
        <f>IF(A35="","",IF(E35&lt;=0,"Out of stock",IF(E35&lt;=5,"Low stock",IF(AND(G35&lt;&gt;"",G35&gt;=30),"Slow moving","OK"))))</f>
        <v/>
      </c>
    </row>
    <row r="36">
      <c r="A36">
        <f>IF(Products!A36="","",Products!A36)</f>
        <v/>
      </c>
      <c r="B36">
        <f>IF(A36="","",Products!C36)</f>
        <v/>
      </c>
      <c r="C36">
        <f>IF(A36="","",SUMIFS(Lots!F:F,Lots!B:B,A36))</f>
        <v/>
      </c>
      <c r="D36">
        <f>IF(A36="","",SUMIFS(Sales!F:F,Sales!D:D,A36))</f>
        <v/>
      </c>
      <c r="E36">
        <f>IF(A36="","",C36-D36)</f>
        <v/>
      </c>
      <c r="F36" s="3">
        <f>IF(A36="","",IF(D36=0,"",_xlfn.MAXIFS(Sales!C:C,Sales!D:D,A36)))</f>
        <v/>
      </c>
      <c r="G36">
        <f>IF(A36="","",IF(F36="","",TODAY()-F36))</f>
        <v/>
      </c>
      <c r="H36">
        <f>IF(A36="","",IF(E36&lt;=0,"Out of stock",IF(E36&lt;=5,"Low stock",IF(AND(G36&lt;&gt;"",G36&gt;=30),"Slow moving","OK"))))</f>
        <v/>
      </c>
    </row>
    <row r="37">
      <c r="A37">
        <f>IF(Products!A37="","",Products!A37)</f>
        <v/>
      </c>
      <c r="B37">
        <f>IF(A37="","",Products!C37)</f>
        <v/>
      </c>
      <c r="C37">
        <f>IF(A37="","",SUMIFS(Lots!F:F,Lots!B:B,A37))</f>
        <v/>
      </c>
      <c r="D37">
        <f>IF(A37="","",SUMIFS(Sales!F:F,Sales!D:D,A37))</f>
        <v/>
      </c>
      <c r="E37">
        <f>IF(A37="","",C37-D37)</f>
        <v/>
      </c>
      <c r="F37" s="3">
        <f>IF(A37="","",IF(D37=0,"",_xlfn.MAXIFS(Sales!C:C,Sales!D:D,A37)))</f>
        <v/>
      </c>
      <c r="G37">
        <f>IF(A37="","",IF(F37="","",TODAY()-F37))</f>
        <v/>
      </c>
      <c r="H37">
        <f>IF(A37="","",IF(E37&lt;=0,"Out of stock",IF(E37&lt;=5,"Low stock",IF(AND(G37&lt;&gt;"",G37&gt;=30),"Slow moving","OK"))))</f>
        <v/>
      </c>
    </row>
    <row r="38">
      <c r="A38">
        <f>IF(Products!A38="","",Products!A38)</f>
        <v/>
      </c>
      <c r="B38">
        <f>IF(A38="","",Products!C38)</f>
        <v/>
      </c>
      <c r="C38">
        <f>IF(A38="","",SUMIFS(Lots!F:F,Lots!B:B,A38))</f>
        <v/>
      </c>
      <c r="D38">
        <f>IF(A38="","",SUMIFS(Sales!F:F,Sales!D:D,A38))</f>
        <v/>
      </c>
      <c r="E38">
        <f>IF(A38="","",C38-D38)</f>
        <v/>
      </c>
      <c r="F38" s="3">
        <f>IF(A38="","",IF(D38=0,"",_xlfn.MAXIFS(Sales!C:C,Sales!D:D,A38)))</f>
        <v/>
      </c>
      <c r="G38">
        <f>IF(A38="","",IF(F38="","",TODAY()-F38))</f>
        <v/>
      </c>
      <c r="H38">
        <f>IF(A38="","",IF(E38&lt;=0,"Out of stock",IF(E38&lt;=5,"Low stock",IF(AND(G38&lt;&gt;"",G38&gt;=30),"Slow moving","OK"))))</f>
        <v/>
      </c>
    </row>
    <row r="39">
      <c r="A39">
        <f>IF(Products!A39="","",Products!A39)</f>
        <v/>
      </c>
      <c r="B39">
        <f>IF(A39="","",Products!C39)</f>
        <v/>
      </c>
      <c r="C39">
        <f>IF(A39="","",SUMIFS(Lots!F:F,Lots!B:B,A39))</f>
        <v/>
      </c>
      <c r="D39">
        <f>IF(A39="","",SUMIFS(Sales!F:F,Sales!D:D,A39))</f>
        <v/>
      </c>
      <c r="E39">
        <f>IF(A39="","",C39-D39)</f>
        <v/>
      </c>
      <c r="F39" s="3">
        <f>IF(A39="","",IF(D39=0,"",_xlfn.MAXIFS(Sales!C:C,Sales!D:D,A39)))</f>
        <v/>
      </c>
      <c r="G39">
        <f>IF(A39="","",IF(F39="","",TODAY()-F39))</f>
        <v/>
      </c>
      <c r="H39">
        <f>IF(A39="","",IF(E39&lt;=0,"Out of stock",IF(E39&lt;=5,"Low stock",IF(AND(G39&lt;&gt;"",G39&gt;=30),"Slow moving","OK"))))</f>
        <v/>
      </c>
    </row>
    <row r="40">
      <c r="A40">
        <f>IF(Products!A40="","",Products!A40)</f>
        <v/>
      </c>
      <c r="B40">
        <f>IF(A40="","",Products!C40)</f>
        <v/>
      </c>
      <c r="C40">
        <f>IF(A40="","",SUMIFS(Lots!F:F,Lots!B:B,A40))</f>
        <v/>
      </c>
      <c r="D40">
        <f>IF(A40="","",SUMIFS(Sales!F:F,Sales!D:D,A40))</f>
        <v/>
      </c>
      <c r="E40">
        <f>IF(A40="","",C40-D40)</f>
        <v/>
      </c>
      <c r="F40" s="3">
        <f>IF(A40="","",IF(D40=0,"",_xlfn.MAXIFS(Sales!C:C,Sales!D:D,A40)))</f>
        <v/>
      </c>
      <c r="G40">
        <f>IF(A40="","",IF(F40="","",TODAY()-F40))</f>
        <v/>
      </c>
      <c r="H40">
        <f>IF(A40="","",IF(E40&lt;=0,"Out of stock",IF(E40&lt;=5,"Low stock",IF(AND(G40&lt;&gt;"",G40&gt;=30),"Slow moving","OK"))))</f>
        <v/>
      </c>
    </row>
    <row r="41">
      <c r="A41">
        <f>IF(Products!A41="","",Products!A41)</f>
        <v/>
      </c>
      <c r="B41">
        <f>IF(A41="","",Products!C41)</f>
        <v/>
      </c>
      <c r="C41">
        <f>IF(A41="","",SUMIFS(Lots!F:F,Lots!B:B,A41))</f>
        <v/>
      </c>
      <c r="D41">
        <f>IF(A41="","",SUMIFS(Sales!F:F,Sales!D:D,A41))</f>
        <v/>
      </c>
      <c r="E41">
        <f>IF(A41="","",C41-D41)</f>
        <v/>
      </c>
      <c r="F41" s="3">
        <f>IF(A41="","",IF(D41=0,"",_xlfn.MAXIFS(Sales!C:C,Sales!D:D,A41)))</f>
        <v/>
      </c>
      <c r="G41">
        <f>IF(A41="","",IF(F41="","",TODAY()-F41))</f>
        <v/>
      </c>
      <c r="H41">
        <f>IF(A41="","",IF(E41&lt;=0,"Out of stock",IF(E41&lt;=5,"Low stock",IF(AND(G41&lt;&gt;"",G41&gt;=30),"Slow moving","OK"))))</f>
        <v/>
      </c>
    </row>
    <row r="42">
      <c r="A42">
        <f>IF(Products!A42="","",Products!A42)</f>
        <v/>
      </c>
      <c r="B42">
        <f>IF(A42="","",Products!C42)</f>
        <v/>
      </c>
      <c r="C42">
        <f>IF(A42="","",SUMIFS(Lots!F:F,Lots!B:B,A42))</f>
        <v/>
      </c>
      <c r="D42">
        <f>IF(A42="","",SUMIFS(Sales!F:F,Sales!D:D,A42))</f>
        <v/>
      </c>
      <c r="E42">
        <f>IF(A42="","",C42-D42)</f>
        <v/>
      </c>
      <c r="F42" s="3">
        <f>IF(A42="","",IF(D42=0,"",_xlfn.MAXIFS(Sales!C:C,Sales!D:D,A42)))</f>
        <v/>
      </c>
      <c r="G42">
        <f>IF(A42="","",IF(F42="","",TODAY()-F42))</f>
        <v/>
      </c>
      <c r="H42">
        <f>IF(A42="","",IF(E42&lt;=0,"Out of stock",IF(E42&lt;=5,"Low stock",IF(AND(G42&lt;&gt;"",G42&gt;=30),"Slow moving","OK"))))</f>
        <v/>
      </c>
    </row>
    <row r="43">
      <c r="A43">
        <f>IF(Products!A43="","",Products!A43)</f>
        <v/>
      </c>
      <c r="B43">
        <f>IF(A43="","",Products!C43)</f>
        <v/>
      </c>
      <c r="C43">
        <f>IF(A43="","",SUMIFS(Lots!F:F,Lots!B:B,A43))</f>
        <v/>
      </c>
      <c r="D43">
        <f>IF(A43="","",SUMIFS(Sales!F:F,Sales!D:D,A43))</f>
        <v/>
      </c>
      <c r="E43">
        <f>IF(A43="","",C43-D43)</f>
        <v/>
      </c>
      <c r="F43" s="3">
        <f>IF(A43="","",IF(D43=0,"",_xlfn.MAXIFS(Sales!C:C,Sales!D:D,A43)))</f>
        <v/>
      </c>
      <c r="G43">
        <f>IF(A43="","",IF(F43="","",TODAY()-F43))</f>
        <v/>
      </c>
      <c r="H43">
        <f>IF(A43="","",IF(E43&lt;=0,"Out of stock",IF(E43&lt;=5,"Low stock",IF(AND(G43&lt;&gt;"",G43&gt;=30),"Slow moving","OK"))))</f>
        <v/>
      </c>
    </row>
    <row r="44">
      <c r="A44">
        <f>IF(Products!A44="","",Products!A44)</f>
        <v/>
      </c>
      <c r="B44">
        <f>IF(A44="","",Products!C44)</f>
        <v/>
      </c>
      <c r="C44">
        <f>IF(A44="","",SUMIFS(Lots!F:F,Lots!B:B,A44))</f>
        <v/>
      </c>
      <c r="D44">
        <f>IF(A44="","",SUMIFS(Sales!F:F,Sales!D:D,A44))</f>
        <v/>
      </c>
      <c r="E44">
        <f>IF(A44="","",C44-D44)</f>
        <v/>
      </c>
      <c r="F44" s="3">
        <f>IF(A44="","",IF(D44=0,"",_xlfn.MAXIFS(Sales!C:C,Sales!D:D,A44)))</f>
        <v/>
      </c>
      <c r="G44">
        <f>IF(A44="","",IF(F44="","",TODAY()-F44))</f>
        <v/>
      </c>
      <c r="H44">
        <f>IF(A44="","",IF(E44&lt;=0,"Out of stock",IF(E44&lt;=5,"Low stock",IF(AND(G44&lt;&gt;"",G44&gt;=30),"Slow moving","OK"))))</f>
        <v/>
      </c>
    </row>
    <row r="45">
      <c r="A45">
        <f>IF(Products!A45="","",Products!A45)</f>
        <v/>
      </c>
      <c r="B45">
        <f>IF(A45="","",Products!C45)</f>
        <v/>
      </c>
      <c r="C45">
        <f>IF(A45="","",SUMIFS(Lots!F:F,Lots!B:B,A45))</f>
        <v/>
      </c>
      <c r="D45">
        <f>IF(A45="","",SUMIFS(Sales!F:F,Sales!D:D,A45))</f>
        <v/>
      </c>
      <c r="E45">
        <f>IF(A45="","",C45-D45)</f>
        <v/>
      </c>
      <c r="F45" s="3">
        <f>IF(A45="","",IF(D45=0,"",_xlfn.MAXIFS(Sales!C:C,Sales!D:D,A45)))</f>
        <v/>
      </c>
      <c r="G45">
        <f>IF(A45="","",IF(F45="","",TODAY()-F45))</f>
        <v/>
      </c>
      <c r="H45">
        <f>IF(A45="","",IF(E45&lt;=0,"Out of stock",IF(E45&lt;=5,"Low stock",IF(AND(G45&lt;&gt;"",G45&gt;=30),"Slow moving","OK"))))</f>
        <v/>
      </c>
    </row>
    <row r="46">
      <c r="A46">
        <f>IF(Products!A46="","",Products!A46)</f>
        <v/>
      </c>
      <c r="B46">
        <f>IF(A46="","",Products!C46)</f>
        <v/>
      </c>
      <c r="C46">
        <f>IF(A46="","",SUMIFS(Lots!F:F,Lots!B:B,A46))</f>
        <v/>
      </c>
      <c r="D46">
        <f>IF(A46="","",SUMIFS(Sales!F:F,Sales!D:D,A46))</f>
        <v/>
      </c>
      <c r="E46">
        <f>IF(A46="","",C46-D46)</f>
        <v/>
      </c>
      <c r="F46" s="3">
        <f>IF(A46="","",IF(D46=0,"",_xlfn.MAXIFS(Sales!C:C,Sales!D:D,A46)))</f>
        <v/>
      </c>
      <c r="G46">
        <f>IF(A46="","",IF(F46="","",TODAY()-F46))</f>
        <v/>
      </c>
      <c r="H46">
        <f>IF(A46="","",IF(E46&lt;=0,"Out of stock",IF(E46&lt;=5,"Low stock",IF(AND(G46&lt;&gt;"",G46&gt;=30),"Slow moving","OK"))))</f>
        <v/>
      </c>
    </row>
    <row r="47">
      <c r="A47">
        <f>IF(Products!A47="","",Products!A47)</f>
        <v/>
      </c>
      <c r="B47">
        <f>IF(A47="","",Products!C47)</f>
        <v/>
      </c>
      <c r="C47">
        <f>IF(A47="","",SUMIFS(Lots!F:F,Lots!B:B,A47))</f>
        <v/>
      </c>
      <c r="D47">
        <f>IF(A47="","",SUMIFS(Sales!F:F,Sales!D:D,A47))</f>
        <v/>
      </c>
      <c r="E47">
        <f>IF(A47="","",C47-D47)</f>
        <v/>
      </c>
      <c r="F47" s="3">
        <f>IF(A47="","",IF(D47=0,"",_xlfn.MAXIFS(Sales!C:C,Sales!D:D,A47)))</f>
        <v/>
      </c>
      <c r="G47">
        <f>IF(A47="","",IF(F47="","",TODAY()-F47))</f>
        <v/>
      </c>
      <c r="H47">
        <f>IF(A47="","",IF(E47&lt;=0,"Out of stock",IF(E47&lt;=5,"Low stock",IF(AND(G47&lt;&gt;"",G47&gt;=30),"Slow moving","OK"))))</f>
        <v/>
      </c>
    </row>
    <row r="48">
      <c r="A48">
        <f>IF(Products!A48="","",Products!A48)</f>
        <v/>
      </c>
      <c r="B48">
        <f>IF(A48="","",Products!C48)</f>
        <v/>
      </c>
      <c r="C48">
        <f>IF(A48="","",SUMIFS(Lots!F:F,Lots!B:B,A48))</f>
        <v/>
      </c>
      <c r="D48">
        <f>IF(A48="","",SUMIFS(Sales!F:F,Sales!D:D,A48))</f>
        <v/>
      </c>
      <c r="E48">
        <f>IF(A48="","",C48-D48)</f>
        <v/>
      </c>
      <c r="F48" s="3">
        <f>IF(A48="","",IF(D48=0,"",_xlfn.MAXIFS(Sales!C:C,Sales!D:D,A48)))</f>
        <v/>
      </c>
      <c r="G48">
        <f>IF(A48="","",IF(F48="","",TODAY()-F48))</f>
        <v/>
      </c>
      <c r="H48">
        <f>IF(A48="","",IF(E48&lt;=0,"Out of stock",IF(E48&lt;=5,"Low stock",IF(AND(G48&lt;&gt;"",G48&gt;=30),"Slow moving","OK"))))</f>
        <v/>
      </c>
    </row>
    <row r="49">
      <c r="A49">
        <f>IF(Products!A49="","",Products!A49)</f>
        <v/>
      </c>
      <c r="B49">
        <f>IF(A49="","",Products!C49)</f>
        <v/>
      </c>
      <c r="C49">
        <f>IF(A49="","",SUMIFS(Lots!F:F,Lots!B:B,A49))</f>
        <v/>
      </c>
      <c r="D49">
        <f>IF(A49="","",SUMIFS(Sales!F:F,Sales!D:D,A49))</f>
        <v/>
      </c>
      <c r="E49">
        <f>IF(A49="","",C49-D49)</f>
        <v/>
      </c>
      <c r="F49" s="3">
        <f>IF(A49="","",IF(D49=0,"",_xlfn.MAXIFS(Sales!C:C,Sales!D:D,A49)))</f>
        <v/>
      </c>
      <c r="G49">
        <f>IF(A49="","",IF(F49="","",TODAY()-F49))</f>
        <v/>
      </c>
      <c r="H49">
        <f>IF(A49="","",IF(E49&lt;=0,"Out of stock",IF(E49&lt;=5,"Low stock",IF(AND(G49&lt;&gt;"",G49&gt;=30),"Slow moving","OK"))))</f>
        <v/>
      </c>
    </row>
    <row r="50">
      <c r="A50">
        <f>IF(Products!A50="","",Products!A50)</f>
        <v/>
      </c>
      <c r="B50">
        <f>IF(A50="","",Products!C50)</f>
        <v/>
      </c>
      <c r="C50">
        <f>IF(A50="","",SUMIFS(Lots!F:F,Lots!B:B,A50))</f>
        <v/>
      </c>
      <c r="D50">
        <f>IF(A50="","",SUMIFS(Sales!F:F,Sales!D:D,A50))</f>
        <v/>
      </c>
      <c r="E50">
        <f>IF(A50="","",C50-D50)</f>
        <v/>
      </c>
      <c r="F50" s="3">
        <f>IF(A50="","",IF(D50=0,"",_xlfn.MAXIFS(Sales!C:C,Sales!D:D,A50)))</f>
        <v/>
      </c>
      <c r="G50">
        <f>IF(A50="","",IF(F50="","",TODAY()-F50))</f>
        <v/>
      </c>
      <c r="H50">
        <f>IF(A50="","",IF(E50&lt;=0,"Out of stock",IF(E50&lt;=5,"Low stock",IF(AND(G50&lt;&gt;"",G50&gt;=30),"Slow moving","OK"))))</f>
        <v/>
      </c>
    </row>
    <row r="51">
      <c r="A51">
        <f>IF(Products!A51="","",Products!A51)</f>
        <v/>
      </c>
      <c r="B51">
        <f>IF(A51="","",Products!C51)</f>
        <v/>
      </c>
      <c r="C51">
        <f>IF(A51="","",SUMIFS(Lots!F:F,Lots!B:B,A51))</f>
        <v/>
      </c>
      <c r="D51">
        <f>IF(A51="","",SUMIFS(Sales!F:F,Sales!D:D,A51))</f>
        <v/>
      </c>
      <c r="E51">
        <f>IF(A51="","",C51-D51)</f>
        <v/>
      </c>
      <c r="F51" s="3">
        <f>IF(A51="","",IF(D51=0,"",_xlfn.MAXIFS(Sales!C:C,Sales!D:D,A51)))</f>
        <v/>
      </c>
      <c r="G51">
        <f>IF(A51="","",IF(F51="","",TODAY()-F51))</f>
        <v/>
      </c>
      <c r="H51">
        <f>IF(A51="","",IF(E51&lt;=0,"Out of stock",IF(E51&lt;=5,"Low stock",IF(AND(G51&lt;&gt;"",G51&gt;=30),"Slow moving","OK"))))</f>
        <v/>
      </c>
    </row>
    <row r="52">
      <c r="A52">
        <f>IF(Products!A52="","",Products!A52)</f>
        <v/>
      </c>
      <c r="B52">
        <f>IF(A52="","",Products!C52)</f>
        <v/>
      </c>
      <c r="C52">
        <f>IF(A52="","",SUMIFS(Lots!F:F,Lots!B:B,A52))</f>
        <v/>
      </c>
      <c r="D52">
        <f>IF(A52="","",SUMIFS(Sales!F:F,Sales!D:D,A52))</f>
        <v/>
      </c>
      <c r="E52">
        <f>IF(A52="","",C52-D52)</f>
        <v/>
      </c>
      <c r="F52" s="3">
        <f>IF(A52="","",IF(D52=0,"",_xlfn.MAXIFS(Sales!C:C,Sales!D:D,A52)))</f>
        <v/>
      </c>
      <c r="G52">
        <f>IF(A52="","",IF(F52="","",TODAY()-F52))</f>
        <v/>
      </c>
      <c r="H52">
        <f>IF(A52="","",IF(E52&lt;=0,"Out of stock",IF(E52&lt;=5,"Low stock",IF(AND(G52&lt;&gt;"",G52&gt;=30),"Slow moving","OK"))))</f>
        <v/>
      </c>
    </row>
    <row r="53">
      <c r="A53">
        <f>IF(Products!A53="","",Products!A53)</f>
        <v/>
      </c>
      <c r="B53">
        <f>IF(A53="","",Products!C53)</f>
        <v/>
      </c>
      <c r="C53">
        <f>IF(A53="","",SUMIFS(Lots!F:F,Lots!B:B,A53))</f>
        <v/>
      </c>
      <c r="D53">
        <f>IF(A53="","",SUMIFS(Sales!F:F,Sales!D:D,A53))</f>
        <v/>
      </c>
      <c r="E53">
        <f>IF(A53="","",C53-D53)</f>
        <v/>
      </c>
      <c r="F53" s="3">
        <f>IF(A53="","",IF(D53=0,"",_xlfn.MAXIFS(Sales!C:C,Sales!D:D,A53)))</f>
        <v/>
      </c>
      <c r="G53">
        <f>IF(A53="","",IF(F53="","",TODAY()-F53))</f>
        <v/>
      </c>
      <c r="H53">
        <f>IF(A53="","",IF(E53&lt;=0,"Out of stock",IF(E53&lt;=5,"Low stock",IF(AND(G53&lt;&gt;"",G53&gt;=30),"Slow moving","OK"))))</f>
        <v/>
      </c>
    </row>
    <row r="54">
      <c r="A54">
        <f>IF(Products!A54="","",Products!A54)</f>
        <v/>
      </c>
      <c r="B54">
        <f>IF(A54="","",Products!C54)</f>
        <v/>
      </c>
      <c r="C54">
        <f>IF(A54="","",SUMIFS(Lots!F:F,Lots!B:B,A54))</f>
        <v/>
      </c>
      <c r="D54">
        <f>IF(A54="","",SUMIFS(Sales!F:F,Sales!D:D,A54))</f>
        <v/>
      </c>
      <c r="E54">
        <f>IF(A54="","",C54-D54)</f>
        <v/>
      </c>
      <c r="F54" s="3">
        <f>IF(A54="","",IF(D54=0,"",_xlfn.MAXIFS(Sales!C:C,Sales!D:D,A54)))</f>
        <v/>
      </c>
      <c r="G54">
        <f>IF(A54="","",IF(F54="","",TODAY()-F54))</f>
        <v/>
      </c>
      <c r="H54">
        <f>IF(A54="","",IF(E54&lt;=0,"Out of stock",IF(E54&lt;=5,"Low stock",IF(AND(G54&lt;&gt;"",G54&gt;=30),"Slow moving","OK"))))</f>
        <v/>
      </c>
    </row>
    <row r="55">
      <c r="A55">
        <f>IF(Products!A55="","",Products!A55)</f>
        <v/>
      </c>
      <c r="B55">
        <f>IF(A55="","",Products!C55)</f>
        <v/>
      </c>
      <c r="C55">
        <f>IF(A55="","",SUMIFS(Lots!F:F,Lots!B:B,A55))</f>
        <v/>
      </c>
      <c r="D55">
        <f>IF(A55="","",SUMIFS(Sales!F:F,Sales!D:D,A55))</f>
        <v/>
      </c>
      <c r="E55">
        <f>IF(A55="","",C55-D55)</f>
        <v/>
      </c>
      <c r="F55" s="3">
        <f>IF(A55="","",IF(D55=0,"",_xlfn.MAXIFS(Sales!C:C,Sales!D:D,A55)))</f>
        <v/>
      </c>
      <c r="G55">
        <f>IF(A55="","",IF(F55="","",TODAY()-F55))</f>
        <v/>
      </c>
      <c r="H55">
        <f>IF(A55="","",IF(E55&lt;=0,"Out of stock",IF(E55&lt;=5,"Low stock",IF(AND(G55&lt;&gt;"",G55&gt;=30),"Slow moving","OK"))))</f>
        <v/>
      </c>
    </row>
    <row r="56">
      <c r="A56">
        <f>IF(Products!A56="","",Products!A56)</f>
        <v/>
      </c>
      <c r="B56">
        <f>IF(A56="","",Products!C56)</f>
        <v/>
      </c>
      <c r="C56">
        <f>IF(A56="","",SUMIFS(Lots!F:F,Lots!B:B,A56))</f>
        <v/>
      </c>
      <c r="D56">
        <f>IF(A56="","",SUMIFS(Sales!F:F,Sales!D:D,A56))</f>
        <v/>
      </c>
      <c r="E56">
        <f>IF(A56="","",C56-D56)</f>
        <v/>
      </c>
      <c r="F56" s="3">
        <f>IF(A56="","",IF(D56=0,"",_xlfn.MAXIFS(Sales!C:C,Sales!D:D,A56)))</f>
        <v/>
      </c>
      <c r="G56">
        <f>IF(A56="","",IF(F56="","",TODAY()-F56))</f>
        <v/>
      </c>
      <c r="H56">
        <f>IF(A56="","",IF(E56&lt;=0,"Out of stock",IF(E56&lt;=5,"Low stock",IF(AND(G56&lt;&gt;"",G56&gt;=30),"Slow moving","OK"))))</f>
        <v/>
      </c>
    </row>
    <row r="57">
      <c r="A57">
        <f>IF(Products!A57="","",Products!A57)</f>
        <v/>
      </c>
      <c r="B57">
        <f>IF(A57="","",Products!C57)</f>
        <v/>
      </c>
      <c r="C57">
        <f>IF(A57="","",SUMIFS(Lots!F:F,Lots!B:B,A57))</f>
        <v/>
      </c>
      <c r="D57">
        <f>IF(A57="","",SUMIFS(Sales!F:F,Sales!D:D,A57))</f>
        <v/>
      </c>
      <c r="E57">
        <f>IF(A57="","",C57-D57)</f>
        <v/>
      </c>
      <c r="F57" s="3">
        <f>IF(A57="","",IF(D57=0,"",_xlfn.MAXIFS(Sales!C:C,Sales!D:D,A57)))</f>
        <v/>
      </c>
      <c r="G57">
        <f>IF(A57="","",IF(F57="","",TODAY()-F57))</f>
        <v/>
      </c>
      <c r="H57">
        <f>IF(A57="","",IF(E57&lt;=0,"Out of stock",IF(E57&lt;=5,"Low stock",IF(AND(G57&lt;&gt;"",G57&gt;=30),"Slow moving","OK"))))</f>
        <v/>
      </c>
    </row>
    <row r="58">
      <c r="A58">
        <f>IF(Products!A58="","",Products!A58)</f>
        <v/>
      </c>
      <c r="B58">
        <f>IF(A58="","",Products!C58)</f>
        <v/>
      </c>
      <c r="C58">
        <f>IF(A58="","",SUMIFS(Lots!F:F,Lots!B:B,A58))</f>
        <v/>
      </c>
      <c r="D58">
        <f>IF(A58="","",SUMIFS(Sales!F:F,Sales!D:D,A58))</f>
        <v/>
      </c>
      <c r="E58">
        <f>IF(A58="","",C58-D58)</f>
        <v/>
      </c>
      <c r="F58" s="3">
        <f>IF(A58="","",IF(D58=0,"",_xlfn.MAXIFS(Sales!C:C,Sales!D:D,A58)))</f>
        <v/>
      </c>
      <c r="G58">
        <f>IF(A58="","",IF(F58="","",TODAY()-F58))</f>
        <v/>
      </c>
      <c r="H58">
        <f>IF(A58="","",IF(E58&lt;=0,"Out of stock",IF(E58&lt;=5,"Low stock",IF(AND(G58&lt;&gt;"",G58&gt;=30),"Slow moving","OK"))))</f>
        <v/>
      </c>
    </row>
    <row r="59">
      <c r="A59">
        <f>IF(Products!A59="","",Products!A59)</f>
        <v/>
      </c>
      <c r="B59">
        <f>IF(A59="","",Products!C59)</f>
        <v/>
      </c>
      <c r="C59">
        <f>IF(A59="","",SUMIFS(Lots!F:F,Lots!B:B,A59))</f>
        <v/>
      </c>
      <c r="D59">
        <f>IF(A59="","",SUMIFS(Sales!F:F,Sales!D:D,A59))</f>
        <v/>
      </c>
      <c r="E59">
        <f>IF(A59="","",C59-D59)</f>
        <v/>
      </c>
      <c r="F59" s="3">
        <f>IF(A59="","",IF(D59=0,"",_xlfn.MAXIFS(Sales!C:C,Sales!D:D,A59)))</f>
        <v/>
      </c>
      <c r="G59">
        <f>IF(A59="","",IF(F59="","",TODAY()-F59))</f>
        <v/>
      </c>
      <c r="H59">
        <f>IF(A59="","",IF(E59&lt;=0,"Out of stock",IF(E59&lt;=5,"Low stock",IF(AND(G59&lt;&gt;"",G59&gt;=30),"Slow moving","OK"))))</f>
        <v/>
      </c>
    </row>
    <row r="60">
      <c r="A60">
        <f>IF(Products!A60="","",Products!A60)</f>
        <v/>
      </c>
      <c r="B60">
        <f>IF(A60="","",Products!C60)</f>
        <v/>
      </c>
      <c r="C60">
        <f>IF(A60="","",SUMIFS(Lots!F:F,Lots!B:B,A60))</f>
        <v/>
      </c>
      <c r="D60">
        <f>IF(A60="","",SUMIFS(Sales!F:F,Sales!D:D,A60))</f>
        <v/>
      </c>
      <c r="E60">
        <f>IF(A60="","",C60-D60)</f>
        <v/>
      </c>
      <c r="F60" s="3">
        <f>IF(A60="","",IF(D60=0,"",_xlfn.MAXIFS(Sales!C:C,Sales!D:D,A60)))</f>
        <v/>
      </c>
      <c r="G60">
        <f>IF(A60="","",IF(F60="","",TODAY()-F60))</f>
        <v/>
      </c>
      <c r="H60">
        <f>IF(A60="","",IF(E60&lt;=0,"Out of stock",IF(E60&lt;=5,"Low stock",IF(AND(G60&lt;&gt;"",G60&gt;=30),"Slow moving","OK"))))</f>
        <v/>
      </c>
    </row>
    <row r="61">
      <c r="A61">
        <f>IF(Products!A61="","",Products!A61)</f>
        <v/>
      </c>
      <c r="B61">
        <f>IF(A61="","",Products!C61)</f>
        <v/>
      </c>
      <c r="C61">
        <f>IF(A61="","",SUMIFS(Lots!F:F,Lots!B:B,A61))</f>
        <v/>
      </c>
      <c r="D61">
        <f>IF(A61="","",SUMIFS(Sales!F:F,Sales!D:D,A61))</f>
        <v/>
      </c>
      <c r="E61">
        <f>IF(A61="","",C61-D61)</f>
        <v/>
      </c>
      <c r="F61" s="3">
        <f>IF(A61="","",IF(D61=0,"",_xlfn.MAXIFS(Sales!C:C,Sales!D:D,A61)))</f>
        <v/>
      </c>
      <c r="G61">
        <f>IF(A61="","",IF(F61="","",TODAY()-F61))</f>
        <v/>
      </c>
      <c r="H61">
        <f>IF(A61="","",IF(E61&lt;=0,"Out of stock",IF(E61&lt;=5,"Low stock",IF(AND(G61&lt;&gt;"",G61&gt;=30),"Slow moving","OK"))))</f>
        <v/>
      </c>
    </row>
    <row r="62">
      <c r="A62">
        <f>IF(Products!A62="","",Products!A62)</f>
        <v/>
      </c>
      <c r="B62">
        <f>IF(A62="","",Products!C62)</f>
        <v/>
      </c>
      <c r="C62">
        <f>IF(A62="","",SUMIFS(Lots!F:F,Lots!B:B,A62))</f>
        <v/>
      </c>
      <c r="D62">
        <f>IF(A62="","",SUMIFS(Sales!F:F,Sales!D:D,A62))</f>
        <v/>
      </c>
      <c r="E62">
        <f>IF(A62="","",C62-D62)</f>
        <v/>
      </c>
      <c r="F62" s="3">
        <f>IF(A62="","",IF(D62=0,"",_xlfn.MAXIFS(Sales!C:C,Sales!D:D,A62)))</f>
        <v/>
      </c>
      <c r="G62">
        <f>IF(A62="","",IF(F62="","",TODAY()-F62))</f>
        <v/>
      </c>
      <c r="H62">
        <f>IF(A62="","",IF(E62&lt;=0,"Out of stock",IF(E62&lt;=5,"Low stock",IF(AND(G62&lt;&gt;"",G62&gt;=30),"Slow moving","OK"))))</f>
        <v/>
      </c>
    </row>
    <row r="63">
      <c r="A63">
        <f>IF(Products!A63="","",Products!A63)</f>
        <v/>
      </c>
      <c r="B63">
        <f>IF(A63="","",Products!C63)</f>
        <v/>
      </c>
      <c r="C63">
        <f>IF(A63="","",SUMIFS(Lots!F:F,Lots!B:B,A63))</f>
        <v/>
      </c>
      <c r="D63">
        <f>IF(A63="","",SUMIFS(Sales!F:F,Sales!D:D,A63))</f>
        <v/>
      </c>
      <c r="E63">
        <f>IF(A63="","",C63-D63)</f>
        <v/>
      </c>
      <c r="F63" s="3">
        <f>IF(A63="","",IF(D63=0,"",_xlfn.MAXIFS(Sales!C:C,Sales!D:D,A63)))</f>
        <v/>
      </c>
      <c r="G63">
        <f>IF(A63="","",IF(F63="","",TODAY()-F63))</f>
        <v/>
      </c>
      <c r="H63">
        <f>IF(A63="","",IF(E63&lt;=0,"Out of stock",IF(E63&lt;=5,"Low stock",IF(AND(G63&lt;&gt;"",G63&gt;=30),"Slow moving","OK"))))</f>
        <v/>
      </c>
    </row>
    <row r="64">
      <c r="A64">
        <f>IF(Products!A64="","",Products!A64)</f>
        <v/>
      </c>
      <c r="B64">
        <f>IF(A64="","",Products!C64)</f>
        <v/>
      </c>
      <c r="C64">
        <f>IF(A64="","",SUMIFS(Lots!F:F,Lots!B:B,A64))</f>
        <v/>
      </c>
      <c r="D64">
        <f>IF(A64="","",SUMIFS(Sales!F:F,Sales!D:D,A64))</f>
        <v/>
      </c>
      <c r="E64">
        <f>IF(A64="","",C64-D64)</f>
        <v/>
      </c>
      <c r="F64" s="3">
        <f>IF(A64="","",IF(D64=0,"",_xlfn.MAXIFS(Sales!C:C,Sales!D:D,A64)))</f>
        <v/>
      </c>
      <c r="G64">
        <f>IF(A64="","",IF(F64="","",TODAY()-F64))</f>
        <v/>
      </c>
      <c r="H64">
        <f>IF(A64="","",IF(E64&lt;=0,"Out of stock",IF(E64&lt;=5,"Low stock",IF(AND(G64&lt;&gt;"",G64&gt;=30),"Slow moving","OK"))))</f>
        <v/>
      </c>
    </row>
    <row r="65">
      <c r="A65">
        <f>IF(Products!A65="","",Products!A65)</f>
        <v/>
      </c>
      <c r="B65">
        <f>IF(A65="","",Products!C65)</f>
        <v/>
      </c>
      <c r="C65">
        <f>IF(A65="","",SUMIFS(Lots!F:F,Lots!B:B,A65))</f>
        <v/>
      </c>
      <c r="D65">
        <f>IF(A65="","",SUMIFS(Sales!F:F,Sales!D:D,A65))</f>
        <v/>
      </c>
      <c r="E65">
        <f>IF(A65="","",C65-D65)</f>
        <v/>
      </c>
      <c r="F65" s="3">
        <f>IF(A65="","",IF(D65=0,"",_xlfn.MAXIFS(Sales!C:C,Sales!D:D,A65)))</f>
        <v/>
      </c>
      <c r="G65">
        <f>IF(A65="","",IF(F65="","",TODAY()-F65))</f>
        <v/>
      </c>
      <c r="H65">
        <f>IF(A65="","",IF(E65&lt;=0,"Out of stock",IF(E65&lt;=5,"Low stock",IF(AND(G65&lt;&gt;"",G65&gt;=30),"Slow moving","OK"))))</f>
        <v/>
      </c>
    </row>
    <row r="66">
      <c r="A66">
        <f>IF(Products!A66="","",Products!A66)</f>
        <v/>
      </c>
      <c r="B66">
        <f>IF(A66="","",Products!C66)</f>
        <v/>
      </c>
      <c r="C66">
        <f>IF(A66="","",SUMIFS(Lots!F:F,Lots!B:B,A66))</f>
        <v/>
      </c>
      <c r="D66">
        <f>IF(A66="","",SUMIFS(Sales!F:F,Sales!D:D,A66))</f>
        <v/>
      </c>
      <c r="E66">
        <f>IF(A66="","",C66-D66)</f>
        <v/>
      </c>
      <c r="F66" s="3">
        <f>IF(A66="","",IF(D66=0,"",_xlfn.MAXIFS(Sales!C:C,Sales!D:D,A66)))</f>
        <v/>
      </c>
      <c r="G66">
        <f>IF(A66="","",IF(F66="","",TODAY()-F66))</f>
        <v/>
      </c>
      <c r="H66">
        <f>IF(A66="","",IF(E66&lt;=0,"Out of stock",IF(E66&lt;=5,"Low stock",IF(AND(G66&lt;&gt;"",G66&gt;=30),"Slow moving","OK"))))</f>
        <v/>
      </c>
    </row>
    <row r="67">
      <c r="A67">
        <f>IF(Products!A67="","",Products!A67)</f>
        <v/>
      </c>
      <c r="B67">
        <f>IF(A67="","",Products!C67)</f>
        <v/>
      </c>
      <c r="C67">
        <f>IF(A67="","",SUMIFS(Lots!F:F,Lots!B:B,A67))</f>
        <v/>
      </c>
      <c r="D67">
        <f>IF(A67="","",SUMIFS(Sales!F:F,Sales!D:D,A67))</f>
        <v/>
      </c>
      <c r="E67">
        <f>IF(A67="","",C67-D67)</f>
        <v/>
      </c>
      <c r="F67" s="3">
        <f>IF(A67="","",IF(D67=0,"",_xlfn.MAXIFS(Sales!C:C,Sales!D:D,A67)))</f>
        <v/>
      </c>
      <c r="G67">
        <f>IF(A67="","",IF(F67="","",TODAY()-F67))</f>
        <v/>
      </c>
      <c r="H67">
        <f>IF(A67="","",IF(E67&lt;=0,"Out of stock",IF(E67&lt;=5,"Low stock",IF(AND(G67&lt;&gt;"",G67&gt;=30),"Slow moving","OK"))))</f>
        <v/>
      </c>
    </row>
    <row r="68">
      <c r="A68">
        <f>IF(Products!A68="","",Products!A68)</f>
        <v/>
      </c>
      <c r="B68">
        <f>IF(A68="","",Products!C68)</f>
        <v/>
      </c>
      <c r="C68">
        <f>IF(A68="","",SUMIFS(Lots!F:F,Lots!B:B,A68))</f>
        <v/>
      </c>
      <c r="D68">
        <f>IF(A68="","",SUMIFS(Sales!F:F,Sales!D:D,A68))</f>
        <v/>
      </c>
      <c r="E68">
        <f>IF(A68="","",C68-D68)</f>
        <v/>
      </c>
      <c r="F68" s="3">
        <f>IF(A68="","",IF(D68=0,"",_xlfn.MAXIFS(Sales!C:C,Sales!D:D,A68)))</f>
        <v/>
      </c>
      <c r="G68">
        <f>IF(A68="","",IF(F68="","",TODAY()-F68))</f>
        <v/>
      </c>
      <c r="H68">
        <f>IF(A68="","",IF(E68&lt;=0,"Out of stock",IF(E68&lt;=5,"Low stock",IF(AND(G68&lt;&gt;"",G68&gt;=30),"Slow moving","OK"))))</f>
        <v/>
      </c>
    </row>
    <row r="69">
      <c r="A69">
        <f>IF(Products!A69="","",Products!A69)</f>
        <v/>
      </c>
      <c r="B69">
        <f>IF(A69="","",Products!C69)</f>
        <v/>
      </c>
      <c r="C69">
        <f>IF(A69="","",SUMIFS(Lots!F:F,Lots!B:B,A69))</f>
        <v/>
      </c>
      <c r="D69">
        <f>IF(A69="","",SUMIFS(Sales!F:F,Sales!D:D,A69))</f>
        <v/>
      </c>
      <c r="E69">
        <f>IF(A69="","",C69-D69)</f>
        <v/>
      </c>
      <c r="F69" s="3">
        <f>IF(A69="","",IF(D69=0,"",_xlfn.MAXIFS(Sales!C:C,Sales!D:D,A69)))</f>
        <v/>
      </c>
      <c r="G69">
        <f>IF(A69="","",IF(F69="","",TODAY()-F69))</f>
        <v/>
      </c>
      <c r="H69">
        <f>IF(A69="","",IF(E69&lt;=0,"Out of stock",IF(E69&lt;=5,"Low stock",IF(AND(G69&lt;&gt;"",G69&gt;=30),"Slow moving","OK"))))</f>
        <v/>
      </c>
    </row>
    <row r="70">
      <c r="A70">
        <f>IF(Products!A70="","",Products!A70)</f>
        <v/>
      </c>
      <c r="B70">
        <f>IF(A70="","",Products!C70)</f>
        <v/>
      </c>
      <c r="C70">
        <f>IF(A70="","",SUMIFS(Lots!F:F,Lots!B:B,A70))</f>
        <v/>
      </c>
      <c r="D70">
        <f>IF(A70="","",SUMIFS(Sales!F:F,Sales!D:D,A70))</f>
        <v/>
      </c>
      <c r="E70">
        <f>IF(A70="","",C70-D70)</f>
        <v/>
      </c>
      <c r="F70" s="3">
        <f>IF(A70="","",IF(D70=0,"",_xlfn.MAXIFS(Sales!C:C,Sales!D:D,A70)))</f>
        <v/>
      </c>
      <c r="G70">
        <f>IF(A70="","",IF(F70="","",TODAY()-F70))</f>
        <v/>
      </c>
      <c r="H70">
        <f>IF(A70="","",IF(E70&lt;=0,"Out of stock",IF(E70&lt;=5,"Low stock",IF(AND(G70&lt;&gt;"",G70&gt;=30),"Slow moving","OK"))))</f>
        <v/>
      </c>
    </row>
    <row r="71">
      <c r="A71">
        <f>IF(Products!A71="","",Products!A71)</f>
        <v/>
      </c>
      <c r="B71">
        <f>IF(A71="","",Products!C71)</f>
        <v/>
      </c>
      <c r="C71">
        <f>IF(A71="","",SUMIFS(Lots!F:F,Lots!B:B,A71))</f>
        <v/>
      </c>
      <c r="D71">
        <f>IF(A71="","",SUMIFS(Sales!F:F,Sales!D:D,A71))</f>
        <v/>
      </c>
      <c r="E71">
        <f>IF(A71="","",C71-D71)</f>
        <v/>
      </c>
      <c r="F71" s="3">
        <f>IF(A71="","",IF(D71=0,"",_xlfn.MAXIFS(Sales!C:C,Sales!D:D,A71)))</f>
        <v/>
      </c>
      <c r="G71">
        <f>IF(A71="","",IF(F71="","",TODAY()-F71))</f>
        <v/>
      </c>
      <c r="H71">
        <f>IF(A71="","",IF(E71&lt;=0,"Out of stock",IF(E71&lt;=5,"Low stock",IF(AND(G71&lt;&gt;"",G71&gt;=30),"Slow moving","OK"))))</f>
        <v/>
      </c>
    </row>
    <row r="72">
      <c r="A72">
        <f>IF(Products!A72="","",Products!A72)</f>
        <v/>
      </c>
      <c r="B72">
        <f>IF(A72="","",Products!C72)</f>
        <v/>
      </c>
      <c r="C72">
        <f>IF(A72="","",SUMIFS(Lots!F:F,Lots!B:B,A72))</f>
        <v/>
      </c>
      <c r="D72">
        <f>IF(A72="","",SUMIFS(Sales!F:F,Sales!D:D,A72))</f>
        <v/>
      </c>
      <c r="E72">
        <f>IF(A72="","",C72-D72)</f>
        <v/>
      </c>
      <c r="F72" s="3">
        <f>IF(A72="","",IF(D72=0,"",_xlfn.MAXIFS(Sales!C:C,Sales!D:D,A72)))</f>
        <v/>
      </c>
      <c r="G72">
        <f>IF(A72="","",IF(F72="","",TODAY()-F72))</f>
        <v/>
      </c>
      <c r="H72">
        <f>IF(A72="","",IF(E72&lt;=0,"Out of stock",IF(E72&lt;=5,"Low stock",IF(AND(G72&lt;&gt;"",G72&gt;=30),"Slow moving","OK"))))</f>
        <v/>
      </c>
    </row>
    <row r="73">
      <c r="A73">
        <f>IF(Products!A73="","",Products!A73)</f>
        <v/>
      </c>
      <c r="B73">
        <f>IF(A73="","",Products!C73)</f>
        <v/>
      </c>
      <c r="C73">
        <f>IF(A73="","",SUMIFS(Lots!F:F,Lots!B:B,A73))</f>
        <v/>
      </c>
      <c r="D73">
        <f>IF(A73="","",SUMIFS(Sales!F:F,Sales!D:D,A73))</f>
        <v/>
      </c>
      <c r="E73">
        <f>IF(A73="","",C73-D73)</f>
        <v/>
      </c>
      <c r="F73" s="3">
        <f>IF(A73="","",IF(D73=0,"",_xlfn.MAXIFS(Sales!C:C,Sales!D:D,A73)))</f>
        <v/>
      </c>
      <c r="G73">
        <f>IF(A73="","",IF(F73="","",TODAY()-F73))</f>
        <v/>
      </c>
      <c r="H73">
        <f>IF(A73="","",IF(E73&lt;=0,"Out of stock",IF(E73&lt;=5,"Low stock",IF(AND(G73&lt;&gt;"",G73&gt;=30),"Slow moving","OK"))))</f>
        <v/>
      </c>
    </row>
    <row r="74">
      <c r="A74">
        <f>IF(Products!A74="","",Products!A74)</f>
        <v/>
      </c>
      <c r="B74">
        <f>IF(A74="","",Products!C74)</f>
        <v/>
      </c>
      <c r="C74">
        <f>IF(A74="","",SUMIFS(Lots!F:F,Lots!B:B,A74))</f>
        <v/>
      </c>
      <c r="D74">
        <f>IF(A74="","",SUMIFS(Sales!F:F,Sales!D:D,A74))</f>
        <v/>
      </c>
      <c r="E74">
        <f>IF(A74="","",C74-D74)</f>
        <v/>
      </c>
      <c r="F74" s="3">
        <f>IF(A74="","",IF(D74=0,"",_xlfn.MAXIFS(Sales!C:C,Sales!D:D,A74)))</f>
        <v/>
      </c>
      <c r="G74">
        <f>IF(A74="","",IF(F74="","",TODAY()-F74))</f>
        <v/>
      </c>
      <c r="H74">
        <f>IF(A74="","",IF(E74&lt;=0,"Out of stock",IF(E74&lt;=5,"Low stock",IF(AND(G74&lt;&gt;"",G74&gt;=30),"Slow moving","OK"))))</f>
        <v/>
      </c>
    </row>
    <row r="75">
      <c r="A75">
        <f>IF(Products!A75="","",Products!A75)</f>
        <v/>
      </c>
      <c r="B75">
        <f>IF(A75="","",Products!C75)</f>
        <v/>
      </c>
      <c r="C75">
        <f>IF(A75="","",SUMIFS(Lots!F:F,Lots!B:B,A75))</f>
        <v/>
      </c>
      <c r="D75">
        <f>IF(A75="","",SUMIFS(Sales!F:F,Sales!D:D,A75))</f>
        <v/>
      </c>
      <c r="E75">
        <f>IF(A75="","",C75-D75)</f>
        <v/>
      </c>
      <c r="F75" s="3">
        <f>IF(A75="","",IF(D75=0,"",_xlfn.MAXIFS(Sales!C:C,Sales!D:D,A75)))</f>
        <v/>
      </c>
      <c r="G75">
        <f>IF(A75="","",IF(F75="","",TODAY()-F75))</f>
        <v/>
      </c>
      <c r="H75">
        <f>IF(A75="","",IF(E75&lt;=0,"Out of stock",IF(E75&lt;=5,"Low stock",IF(AND(G75&lt;&gt;"",G75&gt;=30),"Slow moving","OK"))))</f>
        <v/>
      </c>
    </row>
    <row r="76">
      <c r="A76">
        <f>IF(Products!A76="","",Products!A76)</f>
        <v/>
      </c>
      <c r="B76">
        <f>IF(A76="","",Products!C76)</f>
        <v/>
      </c>
      <c r="C76">
        <f>IF(A76="","",SUMIFS(Lots!F:F,Lots!B:B,A76))</f>
        <v/>
      </c>
      <c r="D76">
        <f>IF(A76="","",SUMIFS(Sales!F:F,Sales!D:D,A76))</f>
        <v/>
      </c>
      <c r="E76">
        <f>IF(A76="","",C76-D76)</f>
        <v/>
      </c>
      <c r="F76" s="3">
        <f>IF(A76="","",IF(D76=0,"",_xlfn.MAXIFS(Sales!C:C,Sales!D:D,A76)))</f>
        <v/>
      </c>
      <c r="G76">
        <f>IF(A76="","",IF(F76="","",TODAY()-F76))</f>
        <v/>
      </c>
      <c r="H76">
        <f>IF(A76="","",IF(E76&lt;=0,"Out of stock",IF(E76&lt;=5,"Low stock",IF(AND(G76&lt;&gt;"",G76&gt;=30),"Slow moving","OK"))))</f>
        <v/>
      </c>
    </row>
    <row r="77">
      <c r="A77">
        <f>IF(Products!A77="","",Products!A77)</f>
        <v/>
      </c>
      <c r="B77">
        <f>IF(A77="","",Products!C77)</f>
        <v/>
      </c>
      <c r="C77">
        <f>IF(A77="","",SUMIFS(Lots!F:F,Lots!B:B,A77))</f>
        <v/>
      </c>
      <c r="D77">
        <f>IF(A77="","",SUMIFS(Sales!F:F,Sales!D:D,A77))</f>
        <v/>
      </c>
      <c r="E77">
        <f>IF(A77="","",C77-D77)</f>
        <v/>
      </c>
      <c r="F77" s="3">
        <f>IF(A77="","",IF(D77=0,"",_xlfn.MAXIFS(Sales!C:C,Sales!D:D,A77)))</f>
        <v/>
      </c>
      <c r="G77">
        <f>IF(A77="","",IF(F77="","",TODAY()-F77))</f>
        <v/>
      </c>
      <c r="H77">
        <f>IF(A77="","",IF(E77&lt;=0,"Out of stock",IF(E77&lt;=5,"Low stock",IF(AND(G77&lt;&gt;"",G77&gt;=30),"Slow moving","OK"))))</f>
        <v/>
      </c>
    </row>
    <row r="78">
      <c r="A78">
        <f>IF(Products!A78="","",Products!A78)</f>
        <v/>
      </c>
      <c r="B78">
        <f>IF(A78="","",Products!C78)</f>
        <v/>
      </c>
      <c r="C78">
        <f>IF(A78="","",SUMIFS(Lots!F:F,Lots!B:B,A78))</f>
        <v/>
      </c>
      <c r="D78">
        <f>IF(A78="","",SUMIFS(Sales!F:F,Sales!D:D,A78))</f>
        <v/>
      </c>
      <c r="E78">
        <f>IF(A78="","",C78-D78)</f>
        <v/>
      </c>
      <c r="F78" s="3">
        <f>IF(A78="","",IF(D78=0,"",_xlfn.MAXIFS(Sales!C:C,Sales!D:D,A78)))</f>
        <v/>
      </c>
      <c r="G78">
        <f>IF(A78="","",IF(F78="","",TODAY()-F78))</f>
        <v/>
      </c>
      <c r="H78">
        <f>IF(A78="","",IF(E78&lt;=0,"Out of stock",IF(E78&lt;=5,"Low stock",IF(AND(G78&lt;&gt;"",G78&gt;=30),"Slow moving","OK"))))</f>
        <v/>
      </c>
    </row>
    <row r="79">
      <c r="A79">
        <f>IF(Products!A79="","",Products!A79)</f>
        <v/>
      </c>
      <c r="B79">
        <f>IF(A79="","",Products!C79)</f>
        <v/>
      </c>
      <c r="C79">
        <f>IF(A79="","",SUMIFS(Lots!F:F,Lots!B:B,A79))</f>
        <v/>
      </c>
      <c r="D79">
        <f>IF(A79="","",SUMIFS(Sales!F:F,Sales!D:D,A79))</f>
        <v/>
      </c>
      <c r="E79">
        <f>IF(A79="","",C79-D79)</f>
        <v/>
      </c>
      <c r="F79" s="3">
        <f>IF(A79="","",IF(D79=0,"",_xlfn.MAXIFS(Sales!C:C,Sales!D:D,A79)))</f>
        <v/>
      </c>
      <c r="G79">
        <f>IF(A79="","",IF(F79="","",TODAY()-F79))</f>
        <v/>
      </c>
      <c r="H79">
        <f>IF(A79="","",IF(E79&lt;=0,"Out of stock",IF(E79&lt;=5,"Low stock",IF(AND(G79&lt;&gt;"",G79&gt;=30),"Slow moving","OK"))))</f>
        <v/>
      </c>
    </row>
    <row r="80">
      <c r="A80">
        <f>IF(Products!A80="","",Products!A80)</f>
        <v/>
      </c>
      <c r="B80">
        <f>IF(A80="","",Products!C80)</f>
        <v/>
      </c>
      <c r="C80">
        <f>IF(A80="","",SUMIFS(Lots!F:F,Lots!B:B,A80))</f>
        <v/>
      </c>
      <c r="D80">
        <f>IF(A80="","",SUMIFS(Sales!F:F,Sales!D:D,A80))</f>
        <v/>
      </c>
      <c r="E80">
        <f>IF(A80="","",C80-D80)</f>
        <v/>
      </c>
      <c r="F80" s="3">
        <f>IF(A80="","",IF(D80=0,"",_xlfn.MAXIFS(Sales!C:C,Sales!D:D,A80)))</f>
        <v/>
      </c>
      <c r="G80">
        <f>IF(A80="","",IF(F80="","",TODAY()-F80))</f>
        <v/>
      </c>
      <c r="H80">
        <f>IF(A80="","",IF(E80&lt;=0,"Out of stock",IF(E80&lt;=5,"Low stock",IF(AND(G80&lt;&gt;"",G80&gt;=30),"Slow moving","OK"))))</f>
        <v/>
      </c>
    </row>
    <row r="81">
      <c r="A81">
        <f>IF(Products!A81="","",Products!A81)</f>
        <v/>
      </c>
      <c r="B81">
        <f>IF(A81="","",Products!C81)</f>
        <v/>
      </c>
      <c r="C81">
        <f>IF(A81="","",SUMIFS(Lots!F:F,Lots!B:B,A81))</f>
        <v/>
      </c>
      <c r="D81">
        <f>IF(A81="","",SUMIFS(Sales!F:F,Sales!D:D,A81))</f>
        <v/>
      </c>
      <c r="E81">
        <f>IF(A81="","",C81-D81)</f>
        <v/>
      </c>
      <c r="F81" s="3">
        <f>IF(A81="","",IF(D81=0,"",_xlfn.MAXIFS(Sales!C:C,Sales!D:D,A81)))</f>
        <v/>
      </c>
      <c r="G81">
        <f>IF(A81="","",IF(F81="","",TODAY()-F81))</f>
        <v/>
      </c>
      <c r="H81">
        <f>IF(A81="","",IF(E81&lt;=0,"Out of stock",IF(E81&lt;=5,"Low stock",IF(AND(G81&lt;&gt;"",G81&gt;=30),"Slow moving","OK"))))</f>
        <v/>
      </c>
    </row>
    <row r="82">
      <c r="A82">
        <f>IF(Products!A82="","",Products!A82)</f>
        <v/>
      </c>
      <c r="B82">
        <f>IF(A82="","",Products!C82)</f>
        <v/>
      </c>
      <c r="C82">
        <f>IF(A82="","",SUMIFS(Lots!F:F,Lots!B:B,A82))</f>
        <v/>
      </c>
      <c r="D82">
        <f>IF(A82="","",SUMIFS(Sales!F:F,Sales!D:D,A82))</f>
        <v/>
      </c>
      <c r="E82">
        <f>IF(A82="","",C82-D82)</f>
        <v/>
      </c>
      <c r="F82" s="3">
        <f>IF(A82="","",IF(D82=0,"",_xlfn.MAXIFS(Sales!C:C,Sales!D:D,A82)))</f>
        <v/>
      </c>
      <c r="G82">
        <f>IF(A82="","",IF(F82="","",TODAY()-F82))</f>
        <v/>
      </c>
      <c r="H82">
        <f>IF(A82="","",IF(E82&lt;=0,"Out of stock",IF(E82&lt;=5,"Low stock",IF(AND(G82&lt;&gt;"",G82&gt;=30),"Slow moving","OK"))))</f>
        <v/>
      </c>
    </row>
    <row r="83">
      <c r="A83">
        <f>IF(Products!A83="","",Products!A83)</f>
        <v/>
      </c>
      <c r="B83">
        <f>IF(A83="","",Products!C83)</f>
        <v/>
      </c>
      <c r="C83">
        <f>IF(A83="","",SUMIFS(Lots!F:F,Lots!B:B,A83))</f>
        <v/>
      </c>
      <c r="D83">
        <f>IF(A83="","",SUMIFS(Sales!F:F,Sales!D:D,A83))</f>
        <v/>
      </c>
      <c r="E83">
        <f>IF(A83="","",C83-D83)</f>
        <v/>
      </c>
      <c r="F83" s="3">
        <f>IF(A83="","",IF(D83=0,"",_xlfn.MAXIFS(Sales!C:C,Sales!D:D,A83)))</f>
        <v/>
      </c>
      <c r="G83">
        <f>IF(A83="","",IF(F83="","",TODAY()-F83))</f>
        <v/>
      </c>
      <c r="H83">
        <f>IF(A83="","",IF(E83&lt;=0,"Out of stock",IF(E83&lt;=5,"Low stock",IF(AND(G83&lt;&gt;"",G83&gt;=30),"Slow moving","OK"))))</f>
        <v/>
      </c>
    </row>
    <row r="84">
      <c r="A84">
        <f>IF(Products!A84="","",Products!A84)</f>
        <v/>
      </c>
      <c r="B84">
        <f>IF(A84="","",Products!C84)</f>
        <v/>
      </c>
      <c r="C84">
        <f>IF(A84="","",SUMIFS(Lots!F:F,Lots!B:B,A84))</f>
        <v/>
      </c>
      <c r="D84">
        <f>IF(A84="","",SUMIFS(Sales!F:F,Sales!D:D,A84))</f>
        <v/>
      </c>
      <c r="E84">
        <f>IF(A84="","",C84-D84)</f>
        <v/>
      </c>
      <c r="F84" s="3">
        <f>IF(A84="","",IF(D84=0,"",_xlfn.MAXIFS(Sales!C:C,Sales!D:D,A84)))</f>
        <v/>
      </c>
      <c r="G84">
        <f>IF(A84="","",IF(F84="","",TODAY()-F84))</f>
        <v/>
      </c>
      <c r="H84">
        <f>IF(A84="","",IF(E84&lt;=0,"Out of stock",IF(E84&lt;=5,"Low stock",IF(AND(G84&lt;&gt;"",G84&gt;=30),"Slow moving","OK"))))</f>
        <v/>
      </c>
    </row>
    <row r="85">
      <c r="A85">
        <f>IF(Products!A85="","",Products!A85)</f>
        <v/>
      </c>
      <c r="B85">
        <f>IF(A85="","",Products!C85)</f>
        <v/>
      </c>
      <c r="C85">
        <f>IF(A85="","",SUMIFS(Lots!F:F,Lots!B:B,A85))</f>
        <v/>
      </c>
      <c r="D85">
        <f>IF(A85="","",SUMIFS(Sales!F:F,Sales!D:D,A85))</f>
        <v/>
      </c>
      <c r="E85">
        <f>IF(A85="","",C85-D85)</f>
        <v/>
      </c>
      <c r="F85" s="3">
        <f>IF(A85="","",IF(D85=0,"",_xlfn.MAXIFS(Sales!C:C,Sales!D:D,A85)))</f>
        <v/>
      </c>
      <c r="G85">
        <f>IF(A85="","",IF(F85="","",TODAY()-F85))</f>
        <v/>
      </c>
      <c r="H85">
        <f>IF(A85="","",IF(E85&lt;=0,"Out of stock",IF(E85&lt;=5,"Low stock",IF(AND(G85&lt;&gt;"",G85&gt;=30),"Slow moving","OK"))))</f>
        <v/>
      </c>
    </row>
    <row r="86">
      <c r="A86">
        <f>IF(Products!A86="","",Products!A86)</f>
        <v/>
      </c>
      <c r="B86">
        <f>IF(A86="","",Products!C86)</f>
        <v/>
      </c>
      <c r="C86">
        <f>IF(A86="","",SUMIFS(Lots!F:F,Lots!B:B,A86))</f>
        <v/>
      </c>
      <c r="D86">
        <f>IF(A86="","",SUMIFS(Sales!F:F,Sales!D:D,A86))</f>
        <v/>
      </c>
      <c r="E86">
        <f>IF(A86="","",C86-D86)</f>
        <v/>
      </c>
      <c r="F86" s="3">
        <f>IF(A86="","",IF(D86=0,"",_xlfn.MAXIFS(Sales!C:C,Sales!D:D,A86)))</f>
        <v/>
      </c>
      <c r="G86">
        <f>IF(A86="","",IF(F86="","",TODAY()-F86))</f>
        <v/>
      </c>
      <c r="H86">
        <f>IF(A86="","",IF(E86&lt;=0,"Out of stock",IF(E86&lt;=5,"Low stock",IF(AND(G86&lt;&gt;"",G86&gt;=30),"Slow moving","OK"))))</f>
        <v/>
      </c>
    </row>
    <row r="87">
      <c r="A87">
        <f>IF(Products!A87="","",Products!A87)</f>
        <v/>
      </c>
      <c r="B87">
        <f>IF(A87="","",Products!C87)</f>
        <v/>
      </c>
      <c r="C87">
        <f>IF(A87="","",SUMIFS(Lots!F:F,Lots!B:B,A87))</f>
        <v/>
      </c>
      <c r="D87">
        <f>IF(A87="","",SUMIFS(Sales!F:F,Sales!D:D,A87))</f>
        <v/>
      </c>
      <c r="E87">
        <f>IF(A87="","",C87-D87)</f>
        <v/>
      </c>
      <c r="F87" s="3">
        <f>IF(A87="","",IF(D87=0,"",_xlfn.MAXIFS(Sales!C:C,Sales!D:D,A87)))</f>
        <v/>
      </c>
      <c r="G87">
        <f>IF(A87="","",IF(F87="","",TODAY()-F87))</f>
        <v/>
      </c>
      <c r="H87">
        <f>IF(A87="","",IF(E87&lt;=0,"Out of stock",IF(E87&lt;=5,"Low stock",IF(AND(G87&lt;&gt;"",G87&gt;=30),"Slow moving","OK"))))</f>
        <v/>
      </c>
    </row>
    <row r="88">
      <c r="A88">
        <f>IF(Products!A88="","",Products!A88)</f>
        <v/>
      </c>
      <c r="B88">
        <f>IF(A88="","",Products!C88)</f>
        <v/>
      </c>
      <c r="C88">
        <f>IF(A88="","",SUMIFS(Lots!F:F,Lots!B:B,A88))</f>
        <v/>
      </c>
      <c r="D88">
        <f>IF(A88="","",SUMIFS(Sales!F:F,Sales!D:D,A88))</f>
        <v/>
      </c>
      <c r="E88">
        <f>IF(A88="","",C88-D88)</f>
        <v/>
      </c>
      <c r="F88" s="3">
        <f>IF(A88="","",IF(D88=0,"",_xlfn.MAXIFS(Sales!C:C,Sales!D:D,A88)))</f>
        <v/>
      </c>
      <c r="G88">
        <f>IF(A88="","",IF(F88="","",TODAY()-F88))</f>
        <v/>
      </c>
      <c r="H88">
        <f>IF(A88="","",IF(E88&lt;=0,"Out of stock",IF(E88&lt;=5,"Low stock",IF(AND(G88&lt;&gt;"",G88&gt;=30),"Slow moving","OK"))))</f>
        <v/>
      </c>
    </row>
    <row r="89">
      <c r="A89">
        <f>IF(Products!A89="","",Products!A89)</f>
        <v/>
      </c>
      <c r="B89">
        <f>IF(A89="","",Products!C89)</f>
        <v/>
      </c>
      <c r="C89">
        <f>IF(A89="","",SUMIFS(Lots!F:F,Lots!B:B,A89))</f>
        <v/>
      </c>
      <c r="D89">
        <f>IF(A89="","",SUMIFS(Sales!F:F,Sales!D:D,A89))</f>
        <v/>
      </c>
      <c r="E89">
        <f>IF(A89="","",C89-D89)</f>
        <v/>
      </c>
      <c r="F89" s="3">
        <f>IF(A89="","",IF(D89=0,"",_xlfn.MAXIFS(Sales!C:C,Sales!D:D,A89)))</f>
        <v/>
      </c>
      <c r="G89">
        <f>IF(A89="","",IF(F89="","",TODAY()-F89))</f>
        <v/>
      </c>
      <c r="H89">
        <f>IF(A89="","",IF(E89&lt;=0,"Out of stock",IF(E89&lt;=5,"Low stock",IF(AND(G89&lt;&gt;"",G89&gt;=30),"Slow moving","OK"))))</f>
        <v/>
      </c>
    </row>
    <row r="90">
      <c r="A90">
        <f>IF(Products!A90="","",Products!A90)</f>
        <v/>
      </c>
      <c r="B90">
        <f>IF(A90="","",Products!C90)</f>
        <v/>
      </c>
      <c r="C90">
        <f>IF(A90="","",SUMIFS(Lots!F:F,Lots!B:B,A90))</f>
        <v/>
      </c>
      <c r="D90">
        <f>IF(A90="","",SUMIFS(Sales!F:F,Sales!D:D,A90))</f>
        <v/>
      </c>
      <c r="E90">
        <f>IF(A90="","",C90-D90)</f>
        <v/>
      </c>
      <c r="F90" s="3">
        <f>IF(A90="","",IF(D90=0,"",_xlfn.MAXIFS(Sales!C:C,Sales!D:D,A90)))</f>
        <v/>
      </c>
      <c r="G90">
        <f>IF(A90="","",IF(F90="","",TODAY()-F90))</f>
        <v/>
      </c>
      <c r="H90">
        <f>IF(A90="","",IF(E90&lt;=0,"Out of stock",IF(E90&lt;=5,"Low stock",IF(AND(G90&lt;&gt;"",G90&gt;=30),"Slow moving","OK"))))</f>
        <v/>
      </c>
    </row>
    <row r="91">
      <c r="A91">
        <f>IF(Products!A91="","",Products!A91)</f>
        <v/>
      </c>
      <c r="B91">
        <f>IF(A91="","",Products!C91)</f>
        <v/>
      </c>
      <c r="C91">
        <f>IF(A91="","",SUMIFS(Lots!F:F,Lots!B:B,A91))</f>
        <v/>
      </c>
      <c r="D91">
        <f>IF(A91="","",SUMIFS(Sales!F:F,Sales!D:D,A91))</f>
        <v/>
      </c>
      <c r="E91">
        <f>IF(A91="","",C91-D91)</f>
        <v/>
      </c>
      <c r="F91" s="3">
        <f>IF(A91="","",IF(D91=0,"",_xlfn.MAXIFS(Sales!C:C,Sales!D:D,A91)))</f>
        <v/>
      </c>
      <c r="G91">
        <f>IF(A91="","",IF(F91="","",TODAY()-F91))</f>
        <v/>
      </c>
      <c r="H91">
        <f>IF(A91="","",IF(E91&lt;=0,"Out of stock",IF(E91&lt;=5,"Low stock",IF(AND(G91&lt;&gt;"",G91&gt;=30),"Slow moving","OK"))))</f>
        <v/>
      </c>
    </row>
    <row r="92">
      <c r="A92">
        <f>IF(Products!A92="","",Products!A92)</f>
        <v/>
      </c>
      <c r="B92">
        <f>IF(A92="","",Products!C92)</f>
        <v/>
      </c>
      <c r="C92">
        <f>IF(A92="","",SUMIFS(Lots!F:F,Lots!B:B,A92))</f>
        <v/>
      </c>
      <c r="D92">
        <f>IF(A92="","",SUMIFS(Sales!F:F,Sales!D:D,A92))</f>
        <v/>
      </c>
      <c r="E92">
        <f>IF(A92="","",C92-D92)</f>
        <v/>
      </c>
      <c r="F92" s="3">
        <f>IF(A92="","",IF(D92=0,"",_xlfn.MAXIFS(Sales!C:C,Sales!D:D,A92)))</f>
        <v/>
      </c>
      <c r="G92">
        <f>IF(A92="","",IF(F92="","",TODAY()-F92))</f>
        <v/>
      </c>
      <c r="H92">
        <f>IF(A92="","",IF(E92&lt;=0,"Out of stock",IF(E92&lt;=5,"Low stock",IF(AND(G92&lt;&gt;"",G92&gt;=30),"Slow moving","OK"))))</f>
        <v/>
      </c>
    </row>
    <row r="93">
      <c r="A93">
        <f>IF(Products!A93="","",Products!A93)</f>
        <v/>
      </c>
      <c r="B93">
        <f>IF(A93="","",Products!C93)</f>
        <v/>
      </c>
      <c r="C93">
        <f>IF(A93="","",SUMIFS(Lots!F:F,Lots!B:B,A93))</f>
        <v/>
      </c>
      <c r="D93">
        <f>IF(A93="","",SUMIFS(Sales!F:F,Sales!D:D,A93))</f>
        <v/>
      </c>
      <c r="E93">
        <f>IF(A93="","",C93-D93)</f>
        <v/>
      </c>
      <c r="F93" s="3">
        <f>IF(A93="","",IF(D93=0,"",_xlfn.MAXIFS(Sales!C:C,Sales!D:D,A93)))</f>
        <v/>
      </c>
      <c r="G93">
        <f>IF(A93="","",IF(F93="","",TODAY()-F93))</f>
        <v/>
      </c>
      <c r="H93">
        <f>IF(A93="","",IF(E93&lt;=0,"Out of stock",IF(E93&lt;=5,"Low stock",IF(AND(G93&lt;&gt;"",G93&gt;=30),"Slow moving","OK"))))</f>
        <v/>
      </c>
    </row>
    <row r="94">
      <c r="A94">
        <f>IF(Products!A94="","",Products!A94)</f>
        <v/>
      </c>
      <c r="B94">
        <f>IF(A94="","",Products!C94)</f>
        <v/>
      </c>
      <c r="C94">
        <f>IF(A94="","",SUMIFS(Lots!F:F,Lots!B:B,A94))</f>
        <v/>
      </c>
      <c r="D94">
        <f>IF(A94="","",SUMIFS(Sales!F:F,Sales!D:D,A94))</f>
        <v/>
      </c>
      <c r="E94">
        <f>IF(A94="","",C94-D94)</f>
        <v/>
      </c>
      <c r="F94" s="3">
        <f>IF(A94="","",IF(D94=0,"",_xlfn.MAXIFS(Sales!C:C,Sales!D:D,A94)))</f>
        <v/>
      </c>
      <c r="G94">
        <f>IF(A94="","",IF(F94="","",TODAY()-F94))</f>
        <v/>
      </c>
      <c r="H94">
        <f>IF(A94="","",IF(E94&lt;=0,"Out of stock",IF(E94&lt;=5,"Low stock",IF(AND(G94&lt;&gt;"",G94&gt;=30),"Slow moving","OK"))))</f>
        <v/>
      </c>
    </row>
    <row r="95">
      <c r="A95">
        <f>IF(Products!A95="","",Products!A95)</f>
        <v/>
      </c>
      <c r="B95">
        <f>IF(A95="","",Products!C95)</f>
        <v/>
      </c>
      <c r="C95">
        <f>IF(A95="","",SUMIFS(Lots!F:F,Lots!B:B,A95))</f>
        <v/>
      </c>
      <c r="D95">
        <f>IF(A95="","",SUMIFS(Sales!F:F,Sales!D:D,A95))</f>
        <v/>
      </c>
      <c r="E95">
        <f>IF(A95="","",C95-D95)</f>
        <v/>
      </c>
      <c r="F95" s="3">
        <f>IF(A95="","",IF(D95=0,"",_xlfn.MAXIFS(Sales!C:C,Sales!D:D,A95)))</f>
        <v/>
      </c>
      <c r="G95">
        <f>IF(A95="","",IF(F95="","",TODAY()-F95))</f>
        <v/>
      </c>
      <c r="H95">
        <f>IF(A95="","",IF(E95&lt;=0,"Out of stock",IF(E95&lt;=5,"Low stock",IF(AND(G95&lt;&gt;"",G95&gt;=30),"Slow moving","OK"))))</f>
        <v/>
      </c>
    </row>
    <row r="96">
      <c r="A96">
        <f>IF(Products!A96="","",Products!A96)</f>
        <v/>
      </c>
      <c r="B96">
        <f>IF(A96="","",Products!C96)</f>
        <v/>
      </c>
      <c r="C96">
        <f>IF(A96="","",SUMIFS(Lots!F:F,Lots!B:B,A96))</f>
        <v/>
      </c>
      <c r="D96">
        <f>IF(A96="","",SUMIFS(Sales!F:F,Sales!D:D,A96))</f>
        <v/>
      </c>
      <c r="E96">
        <f>IF(A96="","",C96-D96)</f>
        <v/>
      </c>
      <c r="F96" s="3">
        <f>IF(A96="","",IF(D96=0,"",_xlfn.MAXIFS(Sales!C:C,Sales!D:D,A96)))</f>
        <v/>
      </c>
      <c r="G96">
        <f>IF(A96="","",IF(F96="","",TODAY()-F96))</f>
        <v/>
      </c>
      <c r="H96">
        <f>IF(A96="","",IF(E96&lt;=0,"Out of stock",IF(E96&lt;=5,"Low stock",IF(AND(G96&lt;&gt;"",G96&gt;=30),"Slow moving","OK"))))</f>
        <v/>
      </c>
    </row>
    <row r="97">
      <c r="A97">
        <f>IF(Products!A97="","",Products!A97)</f>
        <v/>
      </c>
      <c r="B97">
        <f>IF(A97="","",Products!C97)</f>
        <v/>
      </c>
      <c r="C97">
        <f>IF(A97="","",SUMIFS(Lots!F:F,Lots!B:B,A97))</f>
        <v/>
      </c>
      <c r="D97">
        <f>IF(A97="","",SUMIFS(Sales!F:F,Sales!D:D,A97))</f>
        <v/>
      </c>
      <c r="E97">
        <f>IF(A97="","",C97-D97)</f>
        <v/>
      </c>
      <c r="F97" s="3">
        <f>IF(A97="","",IF(D97=0,"",_xlfn.MAXIFS(Sales!C:C,Sales!D:D,A97)))</f>
        <v/>
      </c>
      <c r="G97">
        <f>IF(A97="","",IF(F97="","",TODAY()-F97))</f>
        <v/>
      </c>
      <c r="H97">
        <f>IF(A97="","",IF(E97&lt;=0,"Out of stock",IF(E97&lt;=5,"Low stock",IF(AND(G97&lt;&gt;"",G97&gt;=30),"Slow moving","OK"))))</f>
        <v/>
      </c>
    </row>
    <row r="98">
      <c r="A98">
        <f>IF(Products!A98="","",Products!A98)</f>
        <v/>
      </c>
      <c r="B98">
        <f>IF(A98="","",Products!C98)</f>
        <v/>
      </c>
      <c r="C98">
        <f>IF(A98="","",SUMIFS(Lots!F:F,Lots!B:B,A98))</f>
        <v/>
      </c>
      <c r="D98">
        <f>IF(A98="","",SUMIFS(Sales!F:F,Sales!D:D,A98))</f>
        <v/>
      </c>
      <c r="E98">
        <f>IF(A98="","",C98-D98)</f>
        <v/>
      </c>
      <c r="F98" s="3">
        <f>IF(A98="","",IF(D98=0,"",_xlfn.MAXIFS(Sales!C:C,Sales!D:D,A98)))</f>
        <v/>
      </c>
      <c r="G98">
        <f>IF(A98="","",IF(F98="","",TODAY()-F98))</f>
        <v/>
      </c>
      <c r="H98">
        <f>IF(A98="","",IF(E98&lt;=0,"Out of stock",IF(E98&lt;=5,"Low stock",IF(AND(G98&lt;&gt;"",G98&gt;=30),"Slow moving","OK"))))</f>
        <v/>
      </c>
    </row>
    <row r="99">
      <c r="A99">
        <f>IF(Products!A99="","",Products!A99)</f>
        <v/>
      </c>
      <c r="B99">
        <f>IF(A99="","",Products!C99)</f>
        <v/>
      </c>
      <c r="C99">
        <f>IF(A99="","",SUMIFS(Lots!F:F,Lots!B:B,A99))</f>
        <v/>
      </c>
      <c r="D99">
        <f>IF(A99="","",SUMIFS(Sales!F:F,Sales!D:D,A99))</f>
        <v/>
      </c>
      <c r="E99">
        <f>IF(A99="","",C99-D99)</f>
        <v/>
      </c>
      <c r="F99" s="3">
        <f>IF(A99="","",IF(D99=0,"",_xlfn.MAXIFS(Sales!C:C,Sales!D:D,A99)))</f>
        <v/>
      </c>
      <c r="G99">
        <f>IF(A99="","",IF(F99="","",TODAY()-F99))</f>
        <v/>
      </c>
      <c r="H99">
        <f>IF(A99="","",IF(E99&lt;=0,"Out of stock",IF(E99&lt;=5,"Low stock",IF(AND(G99&lt;&gt;"",G99&gt;=30),"Slow moving","OK"))))</f>
        <v/>
      </c>
    </row>
    <row r="100">
      <c r="A100">
        <f>IF(Products!A100="","",Products!A100)</f>
        <v/>
      </c>
      <c r="B100">
        <f>IF(A100="","",Products!C100)</f>
        <v/>
      </c>
      <c r="C100">
        <f>IF(A100="","",SUMIFS(Lots!F:F,Lots!B:B,A100))</f>
        <v/>
      </c>
      <c r="D100">
        <f>IF(A100="","",SUMIFS(Sales!F:F,Sales!D:D,A100))</f>
        <v/>
      </c>
      <c r="E100">
        <f>IF(A100="","",C100-D100)</f>
        <v/>
      </c>
      <c r="F100" s="3">
        <f>IF(A100="","",IF(D100=0,"",_xlfn.MAXIFS(Sales!C:C,Sales!D:D,A100)))</f>
        <v/>
      </c>
      <c r="G100">
        <f>IF(A100="","",IF(F100="","",TODAY()-F100))</f>
        <v/>
      </c>
      <c r="H100">
        <f>IF(A100="","",IF(E100&lt;=0,"Out of stock",IF(E100&lt;=5,"Low stock",IF(AND(G100&lt;&gt;"",G100&gt;=30),"Slow moving","OK"))))</f>
        <v/>
      </c>
    </row>
    <row r="101">
      <c r="A101">
        <f>IF(Products!A101="","",Products!A101)</f>
        <v/>
      </c>
      <c r="B101">
        <f>IF(A101="","",Products!C101)</f>
        <v/>
      </c>
      <c r="C101">
        <f>IF(A101="","",SUMIFS(Lots!F:F,Lots!B:B,A101))</f>
        <v/>
      </c>
      <c r="D101">
        <f>IF(A101="","",SUMIFS(Sales!F:F,Sales!D:D,A101))</f>
        <v/>
      </c>
      <c r="E101">
        <f>IF(A101="","",C101-D101)</f>
        <v/>
      </c>
      <c r="F101" s="3">
        <f>IF(A101="","",IF(D101=0,"",_xlfn.MAXIFS(Sales!C:C,Sales!D:D,A101)))</f>
        <v/>
      </c>
      <c r="G101">
        <f>IF(A101="","",IF(F101="","",TODAY()-F101))</f>
        <v/>
      </c>
      <c r="H101">
        <f>IF(A101="","",IF(E101&lt;=0,"Out of stock",IF(E101&lt;=5,"Low stock",IF(AND(G101&lt;&gt;"",G101&gt;=30),"Slow moving","OK"))))</f>
        <v/>
      </c>
    </row>
    <row r="102">
      <c r="A102">
        <f>IF(Products!A102="","",Products!A102)</f>
        <v/>
      </c>
      <c r="B102">
        <f>IF(A102="","",Products!C102)</f>
        <v/>
      </c>
      <c r="C102">
        <f>IF(A102="","",SUMIFS(Lots!F:F,Lots!B:B,A102))</f>
        <v/>
      </c>
      <c r="D102">
        <f>IF(A102="","",SUMIFS(Sales!F:F,Sales!D:D,A102))</f>
        <v/>
      </c>
      <c r="E102">
        <f>IF(A102="","",C102-D102)</f>
        <v/>
      </c>
      <c r="F102" s="3">
        <f>IF(A102="","",IF(D102=0,"",_xlfn.MAXIFS(Sales!C:C,Sales!D:D,A102)))</f>
        <v/>
      </c>
      <c r="G102">
        <f>IF(A102="","",IF(F102="","",TODAY()-F102))</f>
        <v/>
      </c>
      <c r="H102">
        <f>IF(A102="","",IF(E102&lt;=0,"Out of stock",IF(E102&lt;=5,"Low stock",IF(AND(G102&lt;&gt;"",G102&gt;=30),"Slow moving","OK"))))</f>
        <v/>
      </c>
    </row>
    <row r="103">
      <c r="A103">
        <f>IF(Products!A103="","",Products!A103)</f>
        <v/>
      </c>
      <c r="B103">
        <f>IF(A103="","",Products!C103)</f>
        <v/>
      </c>
      <c r="C103">
        <f>IF(A103="","",SUMIFS(Lots!F:F,Lots!B:B,A103))</f>
        <v/>
      </c>
      <c r="D103">
        <f>IF(A103="","",SUMIFS(Sales!F:F,Sales!D:D,A103))</f>
        <v/>
      </c>
      <c r="E103">
        <f>IF(A103="","",C103-D103)</f>
        <v/>
      </c>
      <c r="F103" s="3">
        <f>IF(A103="","",IF(D103=0,"",_xlfn.MAXIFS(Sales!C:C,Sales!D:D,A103)))</f>
        <v/>
      </c>
      <c r="G103">
        <f>IF(A103="","",IF(F103="","",TODAY()-F103))</f>
        <v/>
      </c>
      <c r="H103">
        <f>IF(A103="","",IF(E103&lt;=0,"Out of stock",IF(E103&lt;=5,"Low stock",IF(AND(G103&lt;&gt;"",G103&gt;=30),"Slow moving","OK"))))</f>
        <v/>
      </c>
    </row>
    <row r="104">
      <c r="A104">
        <f>IF(Products!A104="","",Products!A104)</f>
        <v/>
      </c>
      <c r="B104">
        <f>IF(A104="","",Products!C104)</f>
        <v/>
      </c>
      <c r="C104">
        <f>IF(A104="","",SUMIFS(Lots!F:F,Lots!B:B,A104))</f>
        <v/>
      </c>
      <c r="D104">
        <f>IF(A104="","",SUMIFS(Sales!F:F,Sales!D:D,A104))</f>
        <v/>
      </c>
      <c r="E104">
        <f>IF(A104="","",C104-D104)</f>
        <v/>
      </c>
      <c r="F104" s="3">
        <f>IF(A104="","",IF(D104=0,"",_xlfn.MAXIFS(Sales!C:C,Sales!D:D,A104)))</f>
        <v/>
      </c>
      <c r="G104">
        <f>IF(A104="","",IF(F104="","",TODAY()-F104))</f>
        <v/>
      </c>
      <c r="H104">
        <f>IF(A104="","",IF(E104&lt;=0,"Out of stock",IF(E104&lt;=5,"Low stock",IF(AND(G104&lt;&gt;"",G104&gt;=30),"Slow moving","OK"))))</f>
        <v/>
      </c>
    </row>
    <row r="105">
      <c r="A105">
        <f>IF(Products!A105="","",Products!A105)</f>
        <v/>
      </c>
      <c r="B105">
        <f>IF(A105="","",Products!C105)</f>
        <v/>
      </c>
      <c r="C105">
        <f>IF(A105="","",SUMIFS(Lots!F:F,Lots!B:B,A105))</f>
        <v/>
      </c>
      <c r="D105">
        <f>IF(A105="","",SUMIFS(Sales!F:F,Sales!D:D,A105))</f>
        <v/>
      </c>
      <c r="E105">
        <f>IF(A105="","",C105-D105)</f>
        <v/>
      </c>
      <c r="F105" s="3">
        <f>IF(A105="","",IF(D105=0,"",_xlfn.MAXIFS(Sales!C:C,Sales!D:D,A105)))</f>
        <v/>
      </c>
      <c r="G105">
        <f>IF(A105="","",IF(F105="","",TODAY()-F105))</f>
        <v/>
      </c>
      <c r="H105">
        <f>IF(A105="","",IF(E105&lt;=0,"Out of stock",IF(E105&lt;=5,"Low stock",IF(AND(G105&lt;&gt;"",G105&gt;=30),"Slow moving","OK"))))</f>
        <v/>
      </c>
    </row>
    <row r="106">
      <c r="A106">
        <f>IF(Products!A106="","",Products!A106)</f>
        <v/>
      </c>
      <c r="B106">
        <f>IF(A106="","",Products!C106)</f>
        <v/>
      </c>
      <c r="C106">
        <f>IF(A106="","",SUMIFS(Lots!F:F,Lots!B:B,A106))</f>
        <v/>
      </c>
      <c r="D106">
        <f>IF(A106="","",SUMIFS(Sales!F:F,Sales!D:D,A106))</f>
        <v/>
      </c>
      <c r="E106">
        <f>IF(A106="","",C106-D106)</f>
        <v/>
      </c>
      <c r="F106" s="3">
        <f>IF(A106="","",IF(D106=0,"",_xlfn.MAXIFS(Sales!C:C,Sales!D:D,A106)))</f>
        <v/>
      </c>
      <c r="G106">
        <f>IF(A106="","",IF(F106="","",TODAY()-F106))</f>
        <v/>
      </c>
      <c r="H106">
        <f>IF(A106="","",IF(E106&lt;=0,"Out of stock",IF(E106&lt;=5,"Low stock",IF(AND(G106&lt;&gt;"",G106&gt;=30),"Slow moving","OK"))))</f>
        <v/>
      </c>
    </row>
    <row r="107">
      <c r="A107">
        <f>IF(Products!A107="","",Products!A107)</f>
        <v/>
      </c>
      <c r="B107">
        <f>IF(A107="","",Products!C107)</f>
        <v/>
      </c>
      <c r="C107">
        <f>IF(A107="","",SUMIFS(Lots!F:F,Lots!B:B,A107))</f>
        <v/>
      </c>
      <c r="D107">
        <f>IF(A107="","",SUMIFS(Sales!F:F,Sales!D:D,A107))</f>
        <v/>
      </c>
      <c r="E107">
        <f>IF(A107="","",C107-D107)</f>
        <v/>
      </c>
      <c r="F107" s="3">
        <f>IF(A107="","",IF(D107=0,"",_xlfn.MAXIFS(Sales!C:C,Sales!D:D,A107)))</f>
        <v/>
      </c>
      <c r="G107">
        <f>IF(A107="","",IF(F107="","",TODAY()-F107))</f>
        <v/>
      </c>
      <c r="H107">
        <f>IF(A107="","",IF(E107&lt;=0,"Out of stock",IF(E107&lt;=5,"Low stock",IF(AND(G107&lt;&gt;"",G107&gt;=30),"Slow moving","OK"))))</f>
        <v/>
      </c>
    </row>
    <row r="108">
      <c r="A108">
        <f>IF(Products!A108="","",Products!A108)</f>
        <v/>
      </c>
      <c r="B108">
        <f>IF(A108="","",Products!C108)</f>
        <v/>
      </c>
      <c r="C108">
        <f>IF(A108="","",SUMIFS(Lots!F:F,Lots!B:B,A108))</f>
        <v/>
      </c>
      <c r="D108">
        <f>IF(A108="","",SUMIFS(Sales!F:F,Sales!D:D,A108))</f>
        <v/>
      </c>
      <c r="E108">
        <f>IF(A108="","",C108-D108)</f>
        <v/>
      </c>
      <c r="F108" s="3">
        <f>IF(A108="","",IF(D108=0,"",_xlfn.MAXIFS(Sales!C:C,Sales!D:D,A108)))</f>
        <v/>
      </c>
      <c r="G108">
        <f>IF(A108="","",IF(F108="","",TODAY()-F108))</f>
        <v/>
      </c>
      <c r="H108">
        <f>IF(A108="","",IF(E108&lt;=0,"Out of stock",IF(E108&lt;=5,"Low stock",IF(AND(G108&lt;&gt;"",G108&gt;=30),"Slow moving","OK"))))</f>
        <v/>
      </c>
    </row>
    <row r="109">
      <c r="A109">
        <f>IF(Products!A109="","",Products!A109)</f>
        <v/>
      </c>
      <c r="B109">
        <f>IF(A109="","",Products!C109)</f>
        <v/>
      </c>
      <c r="C109">
        <f>IF(A109="","",SUMIFS(Lots!F:F,Lots!B:B,A109))</f>
        <v/>
      </c>
      <c r="D109">
        <f>IF(A109="","",SUMIFS(Sales!F:F,Sales!D:D,A109))</f>
        <v/>
      </c>
      <c r="E109">
        <f>IF(A109="","",C109-D109)</f>
        <v/>
      </c>
      <c r="F109" s="3">
        <f>IF(A109="","",IF(D109=0,"",_xlfn.MAXIFS(Sales!C:C,Sales!D:D,A109)))</f>
        <v/>
      </c>
      <c r="G109">
        <f>IF(A109="","",IF(F109="","",TODAY()-F109))</f>
        <v/>
      </c>
      <c r="H109">
        <f>IF(A109="","",IF(E109&lt;=0,"Out of stock",IF(E109&lt;=5,"Low stock",IF(AND(G109&lt;&gt;"",G109&gt;=30),"Slow moving","OK"))))</f>
        <v/>
      </c>
    </row>
    <row r="110">
      <c r="A110">
        <f>IF(Products!A110="","",Products!A110)</f>
        <v/>
      </c>
      <c r="B110">
        <f>IF(A110="","",Products!C110)</f>
        <v/>
      </c>
      <c r="C110">
        <f>IF(A110="","",SUMIFS(Lots!F:F,Lots!B:B,A110))</f>
        <v/>
      </c>
      <c r="D110">
        <f>IF(A110="","",SUMIFS(Sales!F:F,Sales!D:D,A110))</f>
        <v/>
      </c>
      <c r="E110">
        <f>IF(A110="","",C110-D110)</f>
        <v/>
      </c>
      <c r="F110" s="3">
        <f>IF(A110="","",IF(D110=0,"",_xlfn.MAXIFS(Sales!C:C,Sales!D:D,A110)))</f>
        <v/>
      </c>
      <c r="G110">
        <f>IF(A110="","",IF(F110="","",TODAY()-F110))</f>
        <v/>
      </c>
      <c r="H110">
        <f>IF(A110="","",IF(E110&lt;=0,"Out of stock",IF(E110&lt;=5,"Low stock",IF(AND(G110&lt;&gt;"",G110&gt;=30),"Slow moving","OK"))))</f>
        <v/>
      </c>
    </row>
    <row r="111">
      <c r="A111">
        <f>IF(Products!A111="","",Products!A111)</f>
        <v/>
      </c>
      <c r="B111">
        <f>IF(A111="","",Products!C111)</f>
        <v/>
      </c>
      <c r="C111">
        <f>IF(A111="","",SUMIFS(Lots!F:F,Lots!B:B,A111))</f>
        <v/>
      </c>
      <c r="D111">
        <f>IF(A111="","",SUMIFS(Sales!F:F,Sales!D:D,A111))</f>
        <v/>
      </c>
      <c r="E111">
        <f>IF(A111="","",C111-D111)</f>
        <v/>
      </c>
      <c r="F111" s="3">
        <f>IF(A111="","",IF(D111=0,"",_xlfn.MAXIFS(Sales!C:C,Sales!D:D,A111)))</f>
        <v/>
      </c>
      <c r="G111">
        <f>IF(A111="","",IF(F111="","",TODAY()-F111))</f>
        <v/>
      </c>
      <c r="H111">
        <f>IF(A111="","",IF(E111&lt;=0,"Out of stock",IF(E111&lt;=5,"Low stock",IF(AND(G111&lt;&gt;"",G111&gt;=30),"Slow moving","OK"))))</f>
        <v/>
      </c>
    </row>
    <row r="112">
      <c r="A112">
        <f>IF(Products!A112="","",Products!A112)</f>
        <v/>
      </c>
      <c r="B112">
        <f>IF(A112="","",Products!C112)</f>
        <v/>
      </c>
      <c r="C112">
        <f>IF(A112="","",SUMIFS(Lots!F:F,Lots!B:B,A112))</f>
        <v/>
      </c>
      <c r="D112">
        <f>IF(A112="","",SUMIFS(Sales!F:F,Sales!D:D,A112))</f>
        <v/>
      </c>
      <c r="E112">
        <f>IF(A112="","",C112-D112)</f>
        <v/>
      </c>
      <c r="F112" s="3">
        <f>IF(A112="","",IF(D112=0,"",_xlfn.MAXIFS(Sales!C:C,Sales!D:D,A112)))</f>
        <v/>
      </c>
      <c r="G112">
        <f>IF(A112="","",IF(F112="","",TODAY()-F112))</f>
        <v/>
      </c>
      <c r="H112">
        <f>IF(A112="","",IF(E112&lt;=0,"Out of stock",IF(E112&lt;=5,"Low stock",IF(AND(G112&lt;&gt;"",G112&gt;=30),"Slow moving","OK"))))</f>
        <v/>
      </c>
    </row>
    <row r="113">
      <c r="A113">
        <f>IF(Products!A113="","",Products!A113)</f>
        <v/>
      </c>
      <c r="B113">
        <f>IF(A113="","",Products!C113)</f>
        <v/>
      </c>
      <c r="C113">
        <f>IF(A113="","",SUMIFS(Lots!F:F,Lots!B:B,A113))</f>
        <v/>
      </c>
      <c r="D113">
        <f>IF(A113="","",SUMIFS(Sales!F:F,Sales!D:D,A113))</f>
        <v/>
      </c>
      <c r="E113">
        <f>IF(A113="","",C113-D113)</f>
        <v/>
      </c>
      <c r="F113" s="3">
        <f>IF(A113="","",IF(D113=0,"",_xlfn.MAXIFS(Sales!C:C,Sales!D:D,A113)))</f>
        <v/>
      </c>
      <c r="G113">
        <f>IF(A113="","",IF(F113="","",TODAY()-F113))</f>
        <v/>
      </c>
      <c r="H113">
        <f>IF(A113="","",IF(E113&lt;=0,"Out of stock",IF(E113&lt;=5,"Low stock",IF(AND(G113&lt;&gt;"",G113&gt;=30),"Slow moving","OK"))))</f>
        <v/>
      </c>
    </row>
    <row r="114">
      <c r="A114">
        <f>IF(Products!A114="","",Products!A114)</f>
        <v/>
      </c>
      <c r="B114">
        <f>IF(A114="","",Products!C114)</f>
        <v/>
      </c>
      <c r="C114">
        <f>IF(A114="","",SUMIFS(Lots!F:F,Lots!B:B,A114))</f>
        <v/>
      </c>
      <c r="D114">
        <f>IF(A114="","",SUMIFS(Sales!F:F,Sales!D:D,A114))</f>
        <v/>
      </c>
      <c r="E114">
        <f>IF(A114="","",C114-D114)</f>
        <v/>
      </c>
      <c r="F114" s="3">
        <f>IF(A114="","",IF(D114=0,"",_xlfn.MAXIFS(Sales!C:C,Sales!D:D,A114)))</f>
        <v/>
      </c>
      <c r="G114">
        <f>IF(A114="","",IF(F114="","",TODAY()-F114))</f>
        <v/>
      </c>
      <c r="H114">
        <f>IF(A114="","",IF(E114&lt;=0,"Out of stock",IF(E114&lt;=5,"Low stock",IF(AND(G114&lt;&gt;"",G114&gt;=30),"Slow moving","OK"))))</f>
        <v/>
      </c>
    </row>
    <row r="115">
      <c r="A115">
        <f>IF(Products!A115="","",Products!A115)</f>
        <v/>
      </c>
      <c r="B115">
        <f>IF(A115="","",Products!C115)</f>
        <v/>
      </c>
      <c r="C115">
        <f>IF(A115="","",SUMIFS(Lots!F:F,Lots!B:B,A115))</f>
        <v/>
      </c>
      <c r="D115">
        <f>IF(A115="","",SUMIFS(Sales!F:F,Sales!D:D,A115))</f>
        <v/>
      </c>
      <c r="E115">
        <f>IF(A115="","",C115-D115)</f>
        <v/>
      </c>
      <c r="F115" s="3">
        <f>IF(A115="","",IF(D115=0,"",_xlfn.MAXIFS(Sales!C:C,Sales!D:D,A115)))</f>
        <v/>
      </c>
      <c r="G115">
        <f>IF(A115="","",IF(F115="","",TODAY()-F115))</f>
        <v/>
      </c>
      <c r="H115">
        <f>IF(A115="","",IF(E115&lt;=0,"Out of stock",IF(E115&lt;=5,"Low stock",IF(AND(G115&lt;&gt;"",G115&gt;=30),"Slow moving","OK"))))</f>
        <v/>
      </c>
    </row>
    <row r="116">
      <c r="A116">
        <f>IF(Products!A116="","",Products!A116)</f>
        <v/>
      </c>
      <c r="B116">
        <f>IF(A116="","",Products!C116)</f>
        <v/>
      </c>
      <c r="C116">
        <f>IF(A116="","",SUMIFS(Lots!F:F,Lots!B:B,A116))</f>
        <v/>
      </c>
      <c r="D116">
        <f>IF(A116="","",SUMIFS(Sales!F:F,Sales!D:D,A116))</f>
        <v/>
      </c>
      <c r="E116">
        <f>IF(A116="","",C116-D116)</f>
        <v/>
      </c>
      <c r="F116" s="3">
        <f>IF(A116="","",IF(D116=0,"",_xlfn.MAXIFS(Sales!C:C,Sales!D:D,A116)))</f>
        <v/>
      </c>
      <c r="G116">
        <f>IF(A116="","",IF(F116="","",TODAY()-F116))</f>
        <v/>
      </c>
      <c r="H116">
        <f>IF(A116="","",IF(E116&lt;=0,"Out of stock",IF(E116&lt;=5,"Low stock",IF(AND(G116&lt;&gt;"",G116&gt;=30),"Slow moving","OK"))))</f>
        <v/>
      </c>
    </row>
    <row r="117">
      <c r="A117">
        <f>IF(Products!A117="","",Products!A117)</f>
        <v/>
      </c>
      <c r="B117">
        <f>IF(A117="","",Products!C117)</f>
        <v/>
      </c>
      <c r="C117">
        <f>IF(A117="","",SUMIFS(Lots!F:F,Lots!B:B,A117))</f>
        <v/>
      </c>
      <c r="D117">
        <f>IF(A117="","",SUMIFS(Sales!F:F,Sales!D:D,A117))</f>
        <v/>
      </c>
      <c r="E117">
        <f>IF(A117="","",C117-D117)</f>
        <v/>
      </c>
      <c r="F117" s="3">
        <f>IF(A117="","",IF(D117=0,"",_xlfn.MAXIFS(Sales!C:C,Sales!D:D,A117)))</f>
        <v/>
      </c>
      <c r="G117">
        <f>IF(A117="","",IF(F117="","",TODAY()-F117))</f>
        <v/>
      </c>
      <c r="H117">
        <f>IF(A117="","",IF(E117&lt;=0,"Out of stock",IF(E117&lt;=5,"Low stock",IF(AND(G117&lt;&gt;"",G117&gt;=30),"Slow moving","OK"))))</f>
        <v/>
      </c>
    </row>
    <row r="118">
      <c r="A118">
        <f>IF(Products!A118="","",Products!A118)</f>
        <v/>
      </c>
      <c r="B118">
        <f>IF(A118="","",Products!C118)</f>
        <v/>
      </c>
      <c r="C118">
        <f>IF(A118="","",SUMIFS(Lots!F:F,Lots!B:B,A118))</f>
        <v/>
      </c>
      <c r="D118">
        <f>IF(A118="","",SUMIFS(Sales!F:F,Sales!D:D,A118))</f>
        <v/>
      </c>
      <c r="E118">
        <f>IF(A118="","",C118-D118)</f>
        <v/>
      </c>
      <c r="F118" s="3">
        <f>IF(A118="","",IF(D118=0,"",_xlfn.MAXIFS(Sales!C:C,Sales!D:D,A118)))</f>
        <v/>
      </c>
      <c r="G118">
        <f>IF(A118="","",IF(F118="","",TODAY()-F118))</f>
        <v/>
      </c>
      <c r="H118">
        <f>IF(A118="","",IF(E118&lt;=0,"Out of stock",IF(E118&lt;=5,"Low stock",IF(AND(G118&lt;&gt;"",G118&gt;=30),"Slow moving","OK"))))</f>
        <v/>
      </c>
    </row>
    <row r="119">
      <c r="A119">
        <f>IF(Products!A119="","",Products!A119)</f>
        <v/>
      </c>
      <c r="B119">
        <f>IF(A119="","",Products!C119)</f>
        <v/>
      </c>
      <c r="C119">
        <f>IF(A119="","",SUMIFS(Lots!F:F,Lots!B:B,A119))</f>
        <v/>
      </c>
      <c r="D119">
        <f>IF(A119="","",SUMIFS(Sales!F:F,Sales!D:D,A119))</f>
        <v/>
      </c>
      <c r="E119">
        <f>IF(A119="","",C119-D119)</f>
        <v/>
      </c>
      <c r="F119" s="3">
        <f>IF(A119="","",IF(D119=0,"",_xlfn.MAXIFS(Sales!C:C,Sales!D:D,A119)))</f>
        <v/>
      </c>
      <c r="G119">
        <f>IF(A119="","",IF(F119="","",TODAY()-F119))</f>
        <v/>
      </c>
      <c r="H119">
        <f>IF(A119="","",IF(E119&lt;=0,"Out of stock",IF(E119&lt;=5,"Low stock",IF(AND(G119&lt;&gt;"",G119&gt;=30),"Slow moving","OK"))))</f>
        <v/>
      </c>
    </row>
    <row r="120">
      <c r="A120">
        <f>IF(Products!A120="","",Products!A120)</f>
        <v/>
      </c>
      <c r="B120">
        <f>IF(A120="","",Products!C120)</f>
        <v/>
      </c>
      <c r="C120">
        <f>IF(A120="","",SUMIFS(Lots!F:F,Lots!B:B,A120))</f>
        <v/>
      </c>
      <c r="D120">
        <f>IF(A120="","",SUMIFS(Sales!F:F,Sales!D:D,A120))</f>
        <v/>
      </c>
      <c r="E120">
        <f>IF(A120="","",C120-D120)</f>
        <v/>
      </c>
      <c r="F120" s="3">
        <f>IF(A120="","",IF(D120=0,"",_xlfn.MAXIFS(Sales!C:C,Sales!D:D,A120)))</f>
        <v/>
      </c>
      <c r="G120">
        <f>IF(A120="","",IF(F120="","",TODAY()-F120))</f>
        <v/>
      </c>
      <c r="H120">
        <f>IF(A120="","",IF(E120&lt;=0,"Out of stock",IF(E120&lt;=5,"Low stock",IF(AND(G120&lt;&gt;"",G120&gt;=30),"Slow moving","OK"))))</f>
        <v/>
      </c>
    </row>
    <row r="121">
      <c r="A121">
        <f>IF(Products!A121="","",Products!A121)</f>
        <v/>
      </c>
      <c r="B121">
        <f>IF(A121="","",Products!C121)</f>
        <v/>
      </c>
      <c r="C121">
        <f>IF(A121="","",SUMIFS(Lots!F:F,Lots!B:B,A121))</f>
        <v/>
      </c>
      <c r="D121">
        <f>IF(A121="","",SUMIFS(Sales!F:F,Sales!D:D,A121))</f>
        <v/>
      </c>
      <c r="E121">
        <f>IF(A121="","",C121-D121)</f>
        <v/>
      </c>
      <c r="F121" s="3">
        <f>IF(A121="","",IF(D121=0,"",_xlfn.MAXIFS(Sales!C:C,Sales!D:D,A121)))</f>
        <v/>
      </c>
      <c r="G121">
        <f>IF(A121="","",IF(F121="","",TODAY()-F121))</f>
        <v/>
      </c>
      <c r="H121">
        <f>IF(A121="","",IF(E121&lt;=0,"Out of stock",IF(E121&lt;=5,"Low stock",IF(AND(G121&lt;&gt;"",G121&gt;=30),"Slow moving","OK"))))</f>
        <v/>
      </c>
    </row>
    <row r="122">
      <c r="A122">
        <f>IF(Products!A122="","",Products!A122)</f>
        <v/>
      </c>
      <c r="B122">
        <f>IF(A122="","",Products!C122)</f>
        <v/>
      </c>
      <c r="C122">
        <f>IF(A122="","",SUMIFS(Lots!F:F,Lots!B:B,A122))</f>
        <v/>
      </c>
      <c r="D122">
        <f>IF(A122="","",SUMIFS(Sales!F:F,Sales!D:D,A122))</f>
        <v/>
      </c>
      <c r="E122">
        <f>IF(A122="","",C122-D122)</f>
        <v/>
      </c>
      <c r="F122" s="3">
        <f>IF(A122="","",IF(D122=0,"",_xlfn.MAXIFS(Sales!C:C,Sales!D:D,A122)))</f>
        <v/>
      </c>
      <c r="G122">
        <f>IF(A122="","",IF(F122="","",TODAY()-F122))</f>
        <v/>
      </c>
      <c r="H122">
        <f>IF(A122="","",IF(E122&lt;=0,"Out of stock",IF(E122&lt;=5,"Low stock",IF(AND(G122&lt;&gt;"",G122&gt;=30),"Slow moving","OK"))))</f>
        <v/>
      </c>
    </row>
    <row r="123">
      <c r="A123">
        <f>IF(Products!A123="","",Products!A123)</f>
        <v/>
      </c>
      <c r="B123">
        <f>IF(A123="","",Products!C123)</f>
        <v/>
      </c>
      <c r="C123">
        <f>IF(A123="","",SUMIFS(Lots!F:F,Lots!B:B,A123))</f>
        <v/>
      </c>
      <c r="D123">
        <f>IF(A123="","",SUMIFS(Sales!F:F,Sales!D:D,A123))</f>
        <v/>
      </c>
      <c r="E123">
        <f>IF(A123="","",C123-D123)</f>
        <v/>
      </c>
      <c r="F123" s="3">
        <f>IF(A123="","",IF(D123=0,"",_xlfn.MAXIFS(Sales!C:C,Sales!D:D,A123)))</f>
        <v/>
      </c>
      <c r="G123">
        <f>IF(A123="","",IF(F123="","",TODAY()-F123))</f>
        <v/>
      </c>
      <c r="H123">
        <f>IF(A123="","",IF(E123&lt;=0,"Out of stock",IF(E123&lt;=5,"Low stock",IF(AND(G123&lt;&gt;"",G123&gt;=30),"Slow moving","OK"))))</f>
        <v/>
      </c>
    </row>
    <row r="124">
      <c r="A124">
        <f>IF(Products!A124="","",Products!A124)</f>
        <v/>
      </c>
      <c r="B124">
        <f>IF(A124="","",Products!C124)</f>
        <v/>
      </c>
      <c r="C124">
        <f>IF(A124="","",SUMIFS(Lots!F:F,Lots!B:B,A124))</f>
        <v/>
      </c>
      <c r="D124">
        <f>IF(A124="","",SUMIFS(Sales!F:F,Sales!D:D,A124))</f>
        <v/>
      </c>
      <c r="E124">
        <f>IF(A124="","",C124-D124)</f>
        <v/>
      </c>
      <c r="F124" s="3">
        <f>IF(A124="","",IF(D124=0,"",_xlfn.MAXIFS(Sales!C:C,Sales!D:D,A124)))</f>
        <v/>
      </c>
      <c r="G124">
        <f>IF(A124="","",IF(F124="","",TODAY()-F124))</f>
        <v/>
      </c>
      <c r="H124">
        <f>IF(A124="","",IF(E124&lt;=0,"Out of stock",IF(E124&lt;=5,"Low stock",IF(AND(G124&lt;&gt;"",G124&gt;=30),"Slow moving","OK"))))</f>
        <v/>
      </c>
    </row>
    <row r="125">
      <c r="A125">
        <f>IF(Products!A125="","",Products!A125)</f>
        <v/>
      </c>
      <c r="B125">
        <f>IF(A125="","",Products!C125)</f>
        <v/>
      </c>
      <c r="C125">
        <f>IF(A125="","",SUMIFS(Lots!F:F,Lots!B:B,A125))</f>
        <v/>
      </c>
      <c r="D125">
        <f>IF(A125="","",SUMIFS(Sales!F:F,Sales!D:D,A125))</f>
        <v/>
      </c>
      <c r="E125">
        <f>IF(A125="","",C125-D125)</f>
        <v/>
      </c>
      <c r="F125" s="3">
        <f>IF(A125="","",IF(D125=0,"",_xlfn.MAXIFS(Sales!C:C,Sales!D:D,A125)))</f>
        <v/>
      </c>
      <c r="G125">
        <f>IF(A125="","",IF(F125="","",TODAY()-F125))</f>
        <v/>
      </c>
      <c r="H125">
        <f>IF(A125="","",IF(E125&lt;=0,"Out of stock",IF(E125&lt;=5,"Low stock",IF(AND(G125&lt;&gt;"",G125&gt;=30),"Slow moving","OK"))))</f>
        <v/>
      </c>
    </row>
    <row r="126">
      <c r="A126">
        <f>IF(Products!A126="","",Products!A126)</f>
        <v/>
      </c>
      <c r="B126">
        <f>IF(A126="","",Products!C126)</f>
        <v/>
      </c>
      <c r="C126">
        <f>IF(A126="","",SUMIFS(Lots!F:F,Lots!B:B,A126))</f>
        <v/>
      </c>
      <c r="D126">
        <f>IF(A126="","",SUMIFS(Sales!F:F,Sales!D:D,A126))</f>
        <v/>
      </c>
      <c r="E126">
        <f>IF(A126="","",C126-D126)</f>
        <v/>
      </c>
      <c r="F126" s="3">
        <f>IF(A126="","",IF(D126=0,"",_xlfn.MAXIFS(Sales!C:C,Sales!D:D,A126)))</f>
        <v/>
      </c>
      <c r="G126">
        <f>IF(A126="","",IF(F126="","",TODAY()-F126))</f>
        <v/>
      </c>
      <c r="H126">
        <f>IF(A126="","",IF(E126&lt;=0,"Out of stock",IF(E126&lt;=5,"Low stock",IF(AND(G126&lt;&gt;"",G126&gt;=30),"Slow moving","OK"))))</f>
        <v/>
      </c>
    </row>
    <row r="127">
      <c r="A127">
        <f>IF(Products!A127="","",Products!A127)</f>
        <v/>
      </c>
      <c r="B127">
        <f>IF(A127="","",Products!C127)</f>
        <v/>
      </c>
      <c r="C127">
        <f>IF(A127="","",SUMIFS(Lots!F:F,Lots!B:B,A127))</f>
        <v/>
      </c>
      <c r="D127">
        <f>IF(A127="","",SUMIFS(Sales!F:F,Sales!D:D,A127))</f>
        <v/>
      </c>
      <c r="E127">
        <f>IF(A127="","",C127-D127)</f>
        <v/>
      </c>
      <c r="F127" s="3">
        <f>IF(A127="","",IF(D127=0,"",_xlfn.MAXIFS(Sales!C:C,Sales!D:D,A127)))</f>
        <v/>
      </c>
      <c r="G127">
        <f>IF(A127="","",IF(F127="","",TODAY()-F127))</f>
        <v/>
      </c>
      <c r="H127">
        <f>IF(A127="","",IF(E127&lt;=0,"Out of stock",IF(E127&lt;=5,"Low stock",IF(AND(G127&lt;&gt;"",G127&gt;=30),"Slow moving","OK"))))</f>
        <v/>
      </c>
    </row>
    <row r="128">
      <c r="A128">
        <f>IF(Products!A128="","",Products!A128)</f>
        <v/>
      </c>
      <c r="B128">
        <f>IF(A128="","",Products!C128)</f>
        <v/>
      </c>
      <c r="C128">
        <f>IF(A128="","",SUMIFS(Lots!F:F,Lots!B:B,A128))</f>
        <v/>
      </c>
      <c r="D128">
        <f>IF(A128="","",SUMIFS(Sales!F:F,Sales!D:D,A128))</f>
        <v/>
      </c>
      <c r="E128">
        <f>IF(A128="","",C128-D128)</f>
        <v/>
      </c>
      <c r="F128" s="3">
        <f>IF(A128="","",IF(D128=0,"",_xlfn.MAXIFS(Sales!C:C,Sales!D:D,A128)))</f>
        <v/>
      </c>
      <c r="G128">
        <f>IF(A128="","",IF(F128="","",TODAY()-F128))</f>
        <v/>
      </c>
      <c r="H128">
        <f>IF(A128="","",IF(E128&lt;=0,"Out of stock",IF(E128&lt;=5,"Low stock",IF(AND(G128&lt;&gt;"",G128&gt;=30),"Slow moving","OK"))))</f>
        <v/>
      </c>
    </row>
    <row r="129">
      <c r="A129">
        <f>IF(Products!A129="","",Products!A129)</f>
        <v/>
      </c>
      <c r="B129">
        <f>IF(A129="","",Products!C129)</f>
        <v/>
      </c>
      <c r="C129">
        <f>IF(A129="","",SUMIFS(Lots!F:F,Lots!B:B,A129))</f>
        <v/>
      </c>
      <c r="D129">
        <f>IF(A129="","",SUMIFS(Sales!F:F,Sales!D:D,A129))</f>
        <v/>
      </c>
      <c r="E129">
        <f>IF(A129="","",C129-D129)</f>
        <v/>
      </c>
      <c r="F129" s="3">
        <f>IF(A129="","",IF(D129=0,"",_xlfn.MAXIFS(Sales!C:C,Sales!D:D,A129)))</f>
        <v/>
      </c>
      <c r="G129">
        <f>IF(A129="","",IF(F129="","",TODAY()-F129))</f>
        <v/>
      </c>
      <c r="H129">
        <f>IF(A129="","",IF(E129&lt;=0,"Out of stock",IF(E129&lt;=5,"Low stock",IF(AND(G129&lt;&gt;"",G129&gt;=30),"Slow moving","OK"))))</f>
        <v/>
      </c>
    </row>
    <row r="130">
      <c r="A130">
        <f>IF(Products!A130="","",Products!A130)</f>
        <v/>
      </c>
      <c r="B130">
        <f>IF(A130="","",Products!C130)</f>
        <v/>
      </c>
      <c r="C130">
        <f>IF(A130="","",SUMIFS(Lots!F:F,Lots!B:B,A130))</f>
        <v/>
      </c>
      <c r="D130">
        <f>IF(A130="","",SUMIFS(Sales!F:F,Sales!D:D,A130))</f>
        <v/>
      </c>
      <c r="E130">
        <f>IF(A130="","",C130-D130)</f>
        <v/>
      </c>
      <c r="F130" s="3">
        <f>IF(A130="","",IF(D130=0,"",_xlfn.MAXIFS(Sales!C:C,Sales!D:D,A130)))</f>
        <v/>
      </c>
      <c r="G130">
        <f>IF(A130="","",IF(F130="","",TODAY()-F130))</f>
        <v/>
      </c>
      <c r="H130">
        <f>IF(A130="","",IF(E130&lt;=0,"Out of stock",IF(E130&lt;=5,"Low stock",IF(AND(G130&lt;&gt;"",G130&gt;=30),"Slow moving","OK"))))</f>
        <v/>
      </c>
    </row>
    <row r="131">
      <c r="A131">
        <f>IF(Products!A131="","",Products!A131)</f>
        <v/>
      </c>
      <c r="B131">
        <f>IF(A131="","",Products!C131)</f>
        <v/>
      </c>
      <c r="C131">
        <f>IF(A131="","",SUMIFS(Lots!F:F,Lots!B:B,A131))</f>
        <v/>
      </c>
      <c r="D131">
        <f>IF(A131="","",SUMIFS(Sales!F:F,Sales!D:D,A131))</f>
        <v/>
      </c>
      <c r="E131">
        <f>IF(A131="","",C131-D131)</f>
        <v/>
      </c>
      <c r="F131" s="3">
        <f>IF(A131="","",IF(D131=0,"",_xlfn.MAXIFS(Sales!C:C,Sales!D:D,A131)))</f>
        <v/>
      </c>
      <c r="G131">
        <f>IF(A131="","",IF(F131="","",TODAY()-F131))</f>
        <v/>
      </c>
      <c r="H131">
        <f>IF(A131="","",IF(E131&lt;=0,"Out of stock",IF(E131&lt;=5,"Low stock",IF(AND(G131&lt;&gt;"",G131&gt;=30),"Slow moving","OK"))))</f>
        <v/>
      </c>
    </row>
    <row r="132">
      <c r="A132">
        <f>IF(Products!A132="","",Products!A132)</f>
        <v/>
      </c>
      <c r="B132">
        <f>IF(A132="","",Products!C132)</f>
        <v/>
      </c>
      <c r="C132">
        <f>IF(A132="","",SUMIFS(Lots!F:F,Lots!B:B,A132))</f>
        <v/>
      </c>
      <c r="D132">
        <f>IF(A132="","",SUMIFS(Sales!F:F,Sales!D:D,A132))</f>
        <v/>
      </c>
      <c r="E132">
        <f>IF(A132="","",C132-D132)</f>
        <v/>
      </c>
      <c r="F132" s="3">
        <f>IF(A132="","",IF(D132=0,"",_xlfn.MAXIFS(Sales!C:C,Sales!D:D,A132)))</f>
        <v/>
      </c>
      <c r="G132">
        <f>IF(A132="","",IF(F132="","",TODAY()-F132))</f>
        <v/>
      </c>
      <c r="H132">
        <f>IF(A132="","",IF(E132&lt;=0,"Out of stock",IF(E132&lt;=5,"Low stock",IF(AND(G132&lt;&gt;"",G132&gt;=30),"Slow moving","OK"))))</f>
        <v/>
      </c>
    </row>
    <row r="133">
      <c r="A133">
        <f>IF(Products!A133="","",Products!A133)</f>
        <v/>
      </c>
      <c r="B133">
        <f>IF(A133="","",Products!C133)</f>
        <v/>
      </c>
      <c r="C133">
        <f>IF(A133="","",SUMIFS(Lots!F:F,Lots!B:B,A133))</f>
        <v/>
      </c>
      <c r="D133">
        <f>IF(A133="","",SUMIFS(Sales!F:F,Sales!D:D,A133))</f>
        <v/>
      </c>
      <c r="E133">
        <f>IF(A133="","",C133-D133)</f>
        <v/>
      </c>
      <c r="F133" s="3">
        <f>IF(A133="","",IF(D133=0,"",_xlfn.MAXIFS(Sales!C:C,Sales!D:D,A133)))</f>
        <v/>
      </c>
      <c r="G133">
        <f>IF(A133="","",IF(F133="","",TODAY()-F133))</f>
        <v/>
      </c>
      <c r="H133">
        <f>IF(A133="","",IF(E133&lt;=0,"Out of stock",IF(E133&lt;=5,"Low stock",IF(AND(G133&lt;&gt;"",G133&gt;=30),"Slow moving","OK"))))</f>
        <v/>
      </c>
    </row>
    <row r="134">
      <c r="A134">
        <f>IF(Products!A134="","",Products!A134)</f>
        <v/>
      </c>
      <c r="B134">
        <f>IF(A134="","",Products!C134)</f>
        <v/>
      </c>
      <c r="C134">
        <f>IF(A134="","",SUMIFS(Lots!F:F,Lots!B:B,A134))</f>
        <v/>
      </c>
      <c r="D134">
        <f>IF(A134="","",SUMIFS(Sales!F:F,Sales!D:D,A134))</f>
        <v/>
      </c>
      <c r="E134">
        <f>IF(A134="","",C134-D134)</f>
        <v/>
      </c>
      <c r="F134" s="3">
        <f>IF(A134="","",IF(D134=0,"",_xlfn.MAXIFS(Sales!C:C,Sales!D:D,A134)))</f>
        <v/>
      </c>
      <c r="G134">
        <f>IF(A134="","",IF(F134="","",TODAY()-F134))</f>
        <v/>
      </c>
      <c r="H134">
        <f>IF(A134="","",IF(E134&lt;=0,"Out of stock",IF(E134&lt;=5,"Low stock",IF(AND(G134&lt;&gt;"",G134&gt;=30),"Slow moving","OK"))))</f>
        <v/>
      </c>
    </row>
    <row r="135">
      <c r="A135">
        <f>IF(Products!A135="","",Products!A135)</f>
        <v/>
      </c>
      <c r="B135">
        <f>IF(A135="","",Products!C135)</f>
        <v/>
      </c>
      <c r="C135">
        <f>IF(A135="","",SUMIFS(Lots!F:F,Lots!B:B,A135))</f>
        <v/>
      </c>
      <c r="D135">
        <f>IF(A135="","",SUMIFS(Sales!F:F,Sales!D:D,A135))</f>
        <v/>
      </c>
      <c r="E135">
        <f>IF(A135="","",C135-D135)</f>
        <v/>
      </c>
      <c r="F135" s="3">
        <f>IF(A135="","",IF(D135=0,"",_xlfn.MAXIFS(Sales!C:C,Sales!D:D,A135)))</f>
        <v/>
      </c>
      <c r="G135">
        <f>IF(A135="","",IF(F135="","",TODAY()-F135))</f>
        <v/>
      </c>
      <c r="H135">
        <f>IF(A135="","",IF(E135&lt;=0,"Out of stock",IF(E135&lt;=5,"Low stock",IF(AND(G135&lt;&gt;"",G135&gt;=30),"Slow moving","OK"))))</f>
        <v/>
      </c>
    </row>
    <row r="136">
      <c r="A136">
        <f>IF(Products!A136="","",Products!A136)</f>
        <v/>
      </c>
      <c r="B136">
        <f>IF(A136="","",Products!C136)</f>
        <v/>
      </c>
      <c r="C136">
        <f>IF(A136="","",SUMIFS(Lots!F:F,Lots!B:B,A136))</f>
        <v/>
      </c>
      <c r="D136">
        <f>IF(A136="","",SUMIFS(Sales!F:F,Sales!D:D,A136))</f>
        <v/>
      </c>
      <c r="E136">
        <f>IF(A136="","",C136-D136)</f>
        <v/>
      </c>
      <c r="F136" s="3">
        <f>IF(A136="","",IF(D136=0,"",_xlfn.MAXIFS(Sales!C:C,Sales!D:D,A136)))</f>
        <v/>
      </c>
      <c r="G136">
        <f>IF(A136="","",IF(F136="","",TODAY()-F136))</f>
        <v/>
      </c>
      <c r="H136">
        <f>IF(A136="","",IF(E136&lt;=0,"Out of stock",IF(E136&lt;=5,"Low stock",IF(AND(G136&lt;&gt;"",G136&gt;=30),"Slow moving","OK"))))</f>
        <v/>
      </c>
    </row>
    <row r="137">
      <c r="A137">
        <f>IF(Products!A137="","",Products!A137)</f>
        <v/>
      </c>
      <c r="B137">
        <f>IF(A137="","",Products!C137)</f>
        <v/>
      </c>
      <c r="C137">
        <f>IF(A137="","",SUMIFS(Lots!F:F,Lots!B:B,A137))</f>
        <v/>
      </c>
      <c r="D137">
        <f>IF(A137="","",SUMIFS(Sales!F:F,Sales!D:D,A137))</f>
        <v/>
      </c>
      <c r="E137">
        <f>IF(A137="","",C137-D137)</f>
        <v/>
      </c>
      <c r="F137" s="3">
        <f>IF(A137="","",IF(D137=0,"",_xlfn.MAXIFS(Sales!C:C,Sales!D:D,A137)))</f>
        <v/>
      </c>
      <c r="G137">
        <f>IF(A137="","",IF(F137="","",TODAY()-F137))</f>
        <v/>
      </c>
      <c r="H137">
        <f>IF(A137="","",IF(E137&lt;=0,"Out of stock",IF(E137&lt;=5,"Low stock",IF(AND(G137&lt;&gt;"",G137&gt;=30),"Slow moving","OK"))))</f>
        <v/>
      </c>
    </row>
    <row r="138">
      <c r="A138">
        <f>IF(Products!A138="","",Products!A138)</f>
        <v/>
      </c>
      <c r="B138">
        <f>IF(A138="","",Products!C138)</f>
        <v/>
      </c>
      <c r="C138">
        <f>IF(A138="","",SUMIFS(Lots!F:F,Lots!B:B,A138))</f>
        <v/>
      </c>
      <c r="D138">
        <f>IF(A138="","",SUMIFS(Sales!F:F,Sales!D:D,A138))</f>
        <v/>
      </c>
      <c r="E138">
        <f>IF(A138="","",C138-D138)</f>
        <v/>
      </c>
      <c r="F138" s="3">
        <f>IF(A138="","",IF(D138=0,"",_xlfn.MAXIFS(Sales!C:C,Sales!D:D,A138)))</f>
        <v/>
      </c>
      <c r="G138">
        <f>IF(A138="","",IF(F138="","",TODAY()-F138))</f>
        <v/>
      </c>
      <c r="H138">
        <f>IF(A138="","",IF(E138&lt;=0,"Out of stock",IF(E138&lt;=5,"Low stock",IF(AND(G138&lt;&gt;"",G138&gt;=30),"Slow moving","OK"))))</f>
        <v/>
      </c>
    </row>
    <row r="139">
      <c r="A139">
        <f>IF(Products!A139="","",Products!A139)</f>
        <v/>
      </c>
      <c r="B139">
        <f>IF(A139="","",Products!C139)</f>
        <v/>
      </c>
      <c r="C139">
        <f>IF(A139="","",SUMIFS(Lots!F:F,Lots!B:B,A139))</f>
        <v/>
      </c>
      <c r="D139">
        <f>IF(A139="","",SUMIFS(Sales!F:F,Sales!D:D,A139))</f>
        <v/>
      </c>
      <c r="E139">
        <f>IF(A139="","",C139-D139)</f>
        <v/>
      </c>
      <c r="F139" s="3">
        <f>IF(A139="","",IF(D139=0,"",_xlfn.MAXIFS(Sales!C:C,Sales!D:D,A139)))</f>
        <v/>
      </c>
      <c r="G139">
        <f>IF(A139="","",IF(F139="","",TODAY()-F139))</f>
        <v/>
      </c>
      <c r="H139">
        <f>IF(A139="","",IF(E139&lt;=0,"Out of stock",IF(E139&lt;=5,"Low stock",IF(AND(G139&lt;&gt;"",G139&gt;=30),"Slow moving","OK"))))</f>
        <v/>
      </c>
    </row>
    <row r="140">
      <c r="A140">
        <f>IF(Products!A140="","",Products!A140)</f>
        <v/>
      </c>
      <c r="B140">
        <f>IF(A140="","",Products!C140)</f>
        <v/>
      </c>
      <c r="C140">
        <f>IF(A140="","",SUMIFS(Lots!F:F,Lots!B:B,A140))</f>
        <v/>
      </c>
      <c r="D140">
        <f>IF(A140="","",SUMIFS(Sales!F:F,Sales!D:D,A140))</f>
        <v/>
      </c>
      <c r="E140">
        <f>IF(A140="","",C140-D140)</f>
        <v/>
      </c>
      <c r="F140" s="3">
        <f>IF(A140="","",IF(D140=0,"",_xlfn.MAXIFS(Sales!C:C,Sales!D:D,A140)))</f>
        <v/>
      </c>
      <c r="G140">
        <f>IF(A140="","",IF(F140="","",TODAY()-F140))</f>
        <v/>
      </c>
      <c r="H140">
        <f>IF(A140="","",IF(E140&lt;=0,"Out of stock",IF(E140&lt;=5,"Low stock",IF(AND(G140&lt;&gt;"",G140&gt;=30),"Slow moving","OK"))))</f>
        <v/>
      </c>
    </row>
    <row r="141">
      <c r="A141">
        <f>IF(Products!A141="","",Products!A141)</f>
        <v/>
      </c>
      <c r="B141">
        <f>IF(A141="","",Products!C141)</f>
        <v/>
      </c>
      <c r="C141">
        <f>IF(A141="","",SUMIFS(Lots!F:F,Lots!B:B,A141))</f>
        <v/>
      </c>
      <c r="D141">
        <f>IF(A141="","",SUMIFS(Sales!F:F,Sales!D:D,A141))</f>
        <v/>
      </c>
      <c r="E141">
        <f>IF(A141="","",C141-D141)</f>
        <v/>
      </c>
      <c r="F141" s="3">
        <f>IF(A141="","",IF(D141=0,"",_xlfn.MAXIFS(Sales!C:C,Sales!D:D,A141)))</f>
        <v/>
      </c>
      <c r="G141">
        <f>IF(A141="","",IF(F141="","",TODAY()-F141))</f>
        <v/>
      </c>
      <c r="H141">
        <f>IF(A141="","",IF(E141&lt;=0,"Out of stock",IF(E141&lt;=5,"Low stock",IF(AND(G141&lt;&gt;"",G141&gt;=30),"Slow moving","OK"))))</f>
        <v/>
      </c>
    </row>
    <row r="142">
      <c r="A142">
        <f>IF(Products!A142="","",Products!A142)</f>
        <v/>
      </c>
      <c r="B142">
        <f>IF(A142="","",Products!C142)</f>
        <v/>
      </c>
      <c r="C142">
        <f>IF(A142="","",SUMIFS(Lots!F:F,Lots!B:B,A142))</f>
        <v/>
      </c>
      <c r="D142">
        <f>IF(A142="","",SUMIFS(Sales!F:F,Sales!D:D,A142))</f>
        <v/>
      </c>
      <c r="E142">
        <f>IF(A142="","",C142-D142)</f>
        <v/>
      </c>
      <c r="F142" s="3">
        <f>IF(A142="","",IF(D142=0,"",_xlfn.MAXIFS(Sales!C:C,Sales!D:D,A142)))</f>
        <v/>
      </c>
      <c r="G142">
        <f>IF(A142="","",IF(F142="","",TODAY()-F142))</f>
        <v/>
      </c>
      <c r="H142">
        <f>IF(A142="","",IF(E142&lt;=0,"Out of stock",IF(E142&lt;=5,"Low stock",IF(AND(G142&lt;&gt;"",G142&gt;=30),"Slow moving","OK"))))</f>
        <v/>
      </c>
    </row>
    <row r="143">
      <c r="A143">
        <f>IF(Products!A143="","",Products!A143)</f>
        <v/>
      </c>
      <c r="B143">
        <f>IF(A143="","",Products!C143)</f>
        <v/>
      </c>
      <c r="C143">
        <f>IF(A143="","",SUMIFS(Lots!F:F,Lots!B:B,A143))</f>
        <v/>
      </c>
      <c r="D143">
        <f>IF(A143="","",SUMIFS(Sales!F:F,Sales!D:D,A143))</f>
        <v/>
      </c>
      <c r="E143">
        <f>IF(A143="","",C143-D143)</f>
        <v/>
      </c>
      <c r="F143" s="3">
        <f>IF(A143="","",IF(D143=0,"",_xlfn.MAXIFS(Sales!C:C,Sales!D:D,A143)))</f>
        <v/>
      </c>
      <c r="G143">
        <f>IF(A143="","",IF(F143="","",TODAY()-F143))</f>
        <v/>
      </c>
      <c r="H143">
        <f>IF(A143="","",IF(E143&lt;=0,"Out of stock",IF(E143&lt;=5,"Low stock",IF(AND(G143&lt;&gt;"",G143&gt;=30),"Slow moving","OK"))))</f>
        <v/>
      </c>
    </row>
    <row r="144">
      <c r="A144">
        <f>IF(Products!A144="","",Products!A144)</f>
        <v/>
      </c>
      <c r="B144">
        <f>IF(A144="","",Products!C144)</f>
        <v/>
      </c>
      <c r="C144">
        <f>IF(A144="","",SUMIFS(Lots!F:F,Lots!B:B,A144))</f>
        <v/>
      </c>
      <c r="D144">
        <f>IF(A144="","",SUMIFS(Sales!F:F,Sales!D:D,A144))</f>
        <v/>
      </c>
      <c r="E144">
        <f>IF(A144="","",C144-D144)</f>
        <v/>
      </c>
      <c r="F144" s="3">
        <f>IF(A144="","",IF(D144=0,"",_xlfn.MAXIFS(Sales!C:C,Sales!D:D,A144)))</f>
        <v/>
      </c>
      <c r="G144">
        <f>IF(A144="","",IF(F144="","",TODAY()-F144))</f>
        <v/>
      </c>
      <c r="H144">
        <f>IF(A144="","",IF(E144&lt;=0,"Out of stock",IF(E144&lt;=5,"Low stock",IF(AND(G144&lt;&gt;"",G144&gt;=30),"Slow moving","OK"))))</f>
        <v/>
      </c>
    </row>
    <row r="145">
      <c r="A145">
        <f>IF(Products!A145="","",Products!A145)</f>
        <v/>
      </c>
      <c r="B145">
        <f>IF(A145="","",Products!C145)</f>
        <v/>
      </c>
      <c r="C145">
        <f>IF(A145="","",SUMIFS(Lots!F:F,Lots!B:B,A145))</f>
        <v/>
      </c>
      <c r="D145">
        <f>IF(A145="","",SUMIFS(Sales!F:F,Sales!D:D,A145))</f>
        <v/>
      </c>
      <c r="E145">
        <f>IF(A145="","",C145-D145)</f>
        <v/>
      </c>
      <c r="F145" s="3">
        <f>IF(A145="","",IF(D145=0,"",_xlfn.MAXIFS(Sales!C:C,Sales!D:D,A145)))</f>
        <v/>
      </c>
      <c r="G145">
        <f>IF(A145="","",IF(F145="","",TODAY()-F145))</f>
        <v/>
      </c>
      <c r="H145">
        <f>IF(A145="","",IF(E145&lt;=0,"Out of stock",IF(E145&lt;=5,"Low stock",IF(AND(G145&lt;&gt;"",G145&gt;=30),"Slow moving","OK"))))</f>
        <v/>
      </c>
    </row>
    <row r="146">
      <c r="A146">
        <f>IF(Products!A146="","",Products!A146)</f>
        <v/>
      </c>
      <c r="B146">
        <f>IF(A146="","",Products!C146)</f>
        <v/>
      </c>
      <c r="C146">
        <f>IF(A146="","",SUMIFS(Lots!F:F,Lots!B:B,A146))</f>
        <v/>
      </c>
      <c r="D146">
        <f>IF(A146="","",SUMIFS(Sales!F:F,Sales!D:D,A146))</f>
        <v/>
      </c>
      <c r="E146">
        <f>IF(A146="","",C146-D146)</f>
        <v/>
      </c>
      <c r="F146" s="3">
        <f>IF(A146="","",IF(D146=0,"",_xlfn.MAXIFS(Sales!C:C,Sales!D:D,A146)))</f>
        <v/>
      </c>
      <c r="G146">
        <f>IF(A146="","",IF(F146="","",TODAY()-F146))</f>
        <v/>
      </c>
      <c r="H146">
        <f>IF(A146="","",IF(E146&lt;=0,"Out of stock",IF(E146&lt;=5,"Low stock",IF(AND(G146&lt;&gt;"",G146&gt;=30),"Slow moving","OK"))))</f>
        <v/>
      </c>
    </row>
    <row r="147">
      <c r="A147">
        <f>IF(Products!A147="","",Products!A147)</f>
        <v/>
      </c>
      <c r="B147">
        <f>IF(A147="","",Products!C147)</f>
        <v/>
      </c>
      <c r="C147">
        <f>IF(A147="","",SUMIFS(Lots!F:F,Lots!B:B,A147))</f>
        <v/>
      </c>
      <c r="D147">
        <f>IF(A147="","",SUMIFS(Sales!F:F,Sales!D:D,A147))</f>
        <v/>
      </c>
      <c r="E147">
        <f>IF(A147="","",C147-D147)</f>
        <v/>
      </c>
      <c r="F147" s="3">
        <f>IF(A147="","",IF(D147=0,"",_xlfn.MAXIFS(Sales!C:C,Sales!D:D,A147)))</f>
        <v/>
      </c>
      <c r="G147">
        <f>IF(A147="","",IF(F147="","",TODAY()-F147))</f>
        <v/>
      </c>
      <c r="H147">
        <f>IF(A147="","",IF(E147&lt;=0,"Out of stock",IF(E147&lt;=5,"Low stock",IF(AND(G147&lt;&gt;"",G147&gt;=30),"Slow moving","OK"))))</f>
        <v/>
      </c>
    </row>
    <row r="148">
      <c r="A148">
        <f>IF(Products!A148="","",Products!A148)</f>
        <v/>
      </c>
      <c r="B148">
        <f>IF(A148="","",Products!C148)</f>
        <v/>
      </c>
      <c r="C148">
        <f>IF(A148="","",SUMIFS(Lots!F:F,Lots!B:B,A148))</f>
        <v/>
      </c>
      <c r="D148">
        <f>IF(A148="","",SUMIFS(Sales!F:F,Sales!D:D,A148))</f>
        <v/>
      </c>
      <c r="E148">
        <f>IF(A148="","",C148-D148)</f>
        <v/>
      </c>
      <c r="F148" s="3">
        <f>IF(A148="","",IF(D148=0,"",_xlfn.MAXIFS(Sales!C:C,Sales!D:D,A148)))</f>
        <v/>
      </c>
      <c r="G148">
        <f>IF(A148="","",IF(F148="","",TODAY()-F148))</f>
        <v/>
      </c>
      <c r="H148">
        <f>IF(A148="","",IF(E148&lt;=0,"Out of stock",IF(E148&lt;=5,"Low stock",IF(AND(G148&lt;&gt;"",G148&gt;=30),"Slow moving","OK"))))</f>
        <v/>
      </c>
    </row>
    <row r="149">
      <c r="A149">
        <f>IF(Products!A149="","",Products!A149)</f>
        <v/>
      </c>
      <c r="B149">
        <f>IF(A149="","",Products!C149)</f>
        <v/>
      </c>
      <c r="C149">
        <f>IF(A149="","",SUMIFS(Lots!F:F,Lots!B:B,A149))</f>
        <v/>
      </c>
      <c r="D149">
        <f>IF(A149="","",SUMIFS(Sales!F:F,Sales!D:D,A149))</f>
        <v/>
      </c>
      <c r="E149">
        <f>IF(A149="","",C149-D149)</f>
        <v/>
      </c>
      <c r="F149" s="3">
        <f>IF(A149="","",IF(D149=0,"",_xlfn.MAXIFS(Sales!C:C,Sales!D:D,A149)))</f>
        <v/>
      </c>
      <c r="G149">
        <f>IF(A149="","",IF(F149="","",TODAY()-F149))</f>
        <v/>
      </c>
      <c r="H149">
        <f>IF(A149="","",IF(E149&lt;=0,"Out of stock",IF(E149&lt;=5,"Low stock",IF(AND(G149&lt;&gt;"",G149&gt;=30),"Slow moving","OK"))))</f>
        <v/>
      </c>
    </row>
    <row r="150">
      <c r="A150">
        <f>IF(Products!A150="","",Products!A150)</f>
        <v/>
      </c>
      <c r="B150">
        <f>IF(A150="","",Products!C150)</f>
        <v/>
      </c>
      <c r="C150">
        <f>IF(A150="","",SUMIFS(Lots!F:F,Lots!B:B,A150))</f>
        <v/>
      </c>
      <c r="D150">
        <f>IF(A150="","",SUMIFS(Sales!F:F,Sales!D:D,A150))</f>
        <v/>
      </c>
      <c r="E150">
        <f>IF(A150="","",C150-D150)</f>
        <v/>
      </c>
      <c r="F150" s="3">
        <f>IF(A150="","",IF(D150=0,"",_xlfn.MAXIFS(Sales!C:C,Sales!D:D,A150)))</f>
        <v/>
      </c>
      <c r="G150">
        <f>IF(A150="","",IF(F150="","",TODAY()-F150))</f>
        <v/>
      </c>
      <c r="H150">
        <f>IF(A150="","",IF(E150&lt;=0,"Out of stock",IF(E150&lt;=5,"Low stock",IF(AND(G150&lt;&gt;"",G150&gt;=30),"Slow moving","OK"))))</f>
        <v/>
      </c>
    </row>
    <row r="151">
      <c r="A151">
        <f>IF(Products!A151="","",Products!A151)</f>
        <v/>
      </c>
      <c r="B151">
        <f>IF(A151="","",Products!C151)</f>
        <v/>
      </c>
      <c r="C151">
        <f>IF(A151="","",SUMIFS(Lots!F:F,Lots!B:B,A151))</f>
        <v/>
      </c>
      <c r="D151">
        <f>IF(A151="","",SUMIFS(Sales!F:F,Sales!D:D,A151))</f>
        <v/>
      </c>
      <c r="E151">
        <f>IF(A151="","",C151-D151)</f>
        <v/>
      </c>
      <c r="F151" s="3">
        <f>IF(A151="","",IF(D151=0,"",_xlfn.MAXIFS(Sales!C:C,Sales!D:D,A151)))</f>
        <v/>
      </c>
      <c r="G151">
        <f>IF(A151="","",IF(F151="","",TODAY()-F151))</f>
        <v/>
      </c>
      <c r="H151">
        <f>IF(A151="","",IF(E151&lt;=0,"Out of stock",IF(E151&lt;=5,"Low stock",IF(AND(G151&lt;&gt;"",G151&gt;=30),"Slow moving","OK"))))</f>
        <v/>
      </c>
    </row>
    <row r="152">
      <c r="A152">
        <f>IF(Products!A152="","",Products!A152)</f>
        <v/>
      </c>
      <c r="B152">
        <f>IF(A152="","",Products!C152)</f>
        <v/>
      </c>
      <c r="C152">
        <f>IF(A152="","",SUMIFS(Lots!F:F,Lots!B:B,A152))</f>
        <v/>
      </c>
      <c r="D152">
        <f>IF(A152="","",SUMIFS(Sales!F:F,Sales!D:D,A152))</f>
        <v/>
      </c>
      <c r="E152">
        <f>IF(A152="","",C152-D152)</f>
        <v/>
      </c>
      <c r="F152" s="3">
        <f>IF(A152="","",IF(D152=0,"",_xlfn.MAXIFS(Sales!C:C,Sales!D:D,A152)))</f>
        <v/>
      </c>
      <c r="G152">
        <f>IF(A152="","",IF(F152="","",TODAY()-F152))</f>
        <v/>
      </c>
      <c r="H152">
        <f>IF(A152="","",IF(E152&lt;=0,"Out of stock",IF(E152&lt;=5,"Low stock",IF(AND(G152&lt;&gt;"",G152&gt;=30),"Slow moving","OK"))))</f>
        <v/>
      </c>
    </row>
    <row r="153">
      <c r="A153">
        <f>IF(Products!A153="","",Products!A153)</f>
        <v/>
      </c>
      <c r="B153">
        <f>IF(A153="","",Products!C153)</f>
        <v/>
      </c>
      <c r="C153">
        <f>IF(A153="","",SUMIFS(Lots!F:F,Lots!B:B,A153))</f>
        <v/>
      </c>
      <c r="D153">
        <f>IF(A153="","",SUMIFS(Sales!F:F,Sales!D:D,A153))</f>
        <v/>
      </c>
      <c r="E153">
        <f>IF(A153="","",C153-D153)</f>
        <v/>
      </c>
      <c r="F153" s="3">
        <f>IF(A153="","",IF(D153=0,"",_xlfn.MAXIFS(Sales!C:C,Sales!D:D,A153)))</f>
        <v/>
      </c>
      <c r="G153">
        <f>IF(A153="","",IF(F153="","",TODAY()-F153))</f>
        <v/>
      </c>
      <c r="H153">
        <f>IF(A153="","",IF(E153&lt;=0,"Out of stock",IF(E153&lt;=5,"Low stock",IF(AND(G153&lt;&gt;"",G153&gt;=30),"Slow moving","OK"))))</f>
        <v/>
      </c>
    </row>
    <row r="154">
      <c r="A154">
        <f>IF(Products!A154="","",Products!A154)</f>
        <v/>
      </c>
      <c r="B154">
        <f>IF(A154="","",Products!C154)</f>
        <v/>
      </c>
      <c r="C154">
        <f>IF(A154="","",SUMIFS(Lots!F:F,Lots!B:B,A154))</f>
        <v/>
      </c>
      <c r="D154">
        <f>IF(A154="","",SUMIFS(Sales!F:F,Sales!D:D,A154))</f>
        <v/>
      </c>
      <c r="E154">
        <f>IF(A154="","",C154-D154)</f>
        <v/>
      </c>
      <c r="F154" s="3">
        <f>IF(A154="","",IF(D154=0,"",_xlfn.MAXIFS(Sales!C:C,Sales!D:D,A154)))</f>
        <v/>
      </c>
      <c r="G154">
        <f>IF(A154="","",IF(F154="","",TODAY()-F154))</f>
        <v/>
      </c>
      <c r="H154">
        <f>IF(A154="","",IF(E154&lt;=0,"Out of stock",IF(E154&lt;=5,"Low stock",IF(AND(G154&lt;&gt;"",G154&gt;=30),"Slow moving","OK"))))</f>
        <v/>
      </c>
    </row>
    <row r="155">
      <c r="A155">
        <f>IF(Products!A155="","",Products!A155)</f>
        <v/>
      </c>
      <c r="B155">
        <f>IF(A155="","",Products!C155)</f>
        <v/>
      </c>
      <c r="C155">
        <f>IF(A155="","",SUMIFS(Lots!F:F,Lots!B:B,A155))</f>
        <v/>
      </c>
      <c r="D155">
        <f>IF(A155="","",SUMIFS(Sales!F:F,Sales!D:D,A155))</f>
        <v/>
      </c>
      <c r="E155">
        <f>IF(A155="","",C155-D155)</f>
        <v/>
      </c>
      <c r="F155" s="3">
        <f>IF(A155="","",IF(D155=0,"",_xlfn.MAXIFS(Sales!C:C,Sales!D:D,A155)))</f>
        <v/>
      </c>
      <c r="G155">
        <f>IF(A155="","",IF(F155="","",TODAY()-F155))</f>
        <v/>
      </c>
      <c r="H155">
        <f>IF(A155="","",IF(E155&lt;=0,"Out of stock",IF(E155&lt;=5,"Low stock",IF(AND(G155&lt;&gt;"",G155&gt;=30),"Slow moving","OK"))))</f>
        <v/>
      </c>
    </row>
    <row r="156">
      <c r="A156">
        <f>IF(Products!A156="","",Products!A156)</f>
        <v/>
      </c>
      <c r="B156">
        <f>IF(A156="","",Products!C156)</f>
        <v/>
      </c>
      <c r="C156">
        <f>IF(A156="","",SUMIFS(Lots!F:F,Lots!B:B,A156))</f>
        <v/>
      </c>
      <c r="D156">
        <f>IF(A156="","",SUMIFS(Sales!F:F,Sales!D:D,A156))</f>
        <v/>
      </c>
      <c r="E156">
        <f>IF(A156="","",C156-D156)</f>
        <v/>
      </c>
      <c r="F156" s="3">
        <f>IF(A156="","",IF(D156=0,"",_xlfn.MAXIFS(Sales!C:C,Sales!D:D,A156)))</f>
        <v/>
      </c>
      <c r="G156">
        <f>IF(A156="","",IF(F156="","",TODAY()-F156))</f>
        <v/>
      </c>
      <c r="H156">
        <f>IF(A156="","",IF(E156&lt;=0,"Out of stock",IF(E156&lt;=5,"Low stock",IF(AND(G156&lt;&gt;"",G156&gt;=30),"Slow moving","OK"))))</f>
        <v/>
      </c>
    </row>
    <row r="157">
      <c r="A157">
        <f>IF(Products!A157="","",Products!A157)</f>
        <v/>
      </c>
      <c r="B157">
        <f>IF(A157="","",Products!C157)</f>
        <v/>
      </c>
      <c r="C157">
        <f>IF(A157="","",SUMIFS(Lots!F:F,Lots!B:B,A157))</f>
        <v/>
      </c>
      <c r="D157">
        <f>IF(A157="","",SUMIFS(Sales!F:F,Sales!D:D,A157))</f>
        <v/>
      </c>
      <c r="E157">
        <f>IF(A157="","",C157-D157)</f>
        <v/>
      </c>
      <c r="F157" s="3">
        <f>IF(A157="","",IF(D157=0,"",_xlfn.MAXIFS(Sales!C:C,Sales!D:D,A157)))</f>
        <v/>
      </c>
      <c r="G157">
        <f>IF(A157="","",IF(F157="","",TODAY()-F157))</f>
        <v/>
      </c>
      <c r="H157">
        <f>IF(A157="","",IF(E157&lt;=0,"Out of stock",IF(E157&lt;=5,"Low stock",IF(AND(G157&lt;&gt;"",G157&gt;=30),"Slow moving","OK"))))</f>
        <v/>
      </c>
    </row>
    <row r="158">
      <c r="A158">
        <f>IF(Products!A158="","",Products!A158)</f>
        <v/>
      </c>
      <c r="B158">
        <f>IF(A158="","",Products!C158)</f>
        <v/>
      </c>
      <c r="C158">
        <f>IF(A158="","",SUMIFS(Lots!F:F,Lots!B:B,A158))</f>
        <v/>
      </c>
      <c r="D158">
        <f>IF(A158="","",SUMIFS(Sales!F:F,Sales!D:D,A158))</f>
        <v/>
      </c>
      <c r="E158">
        <f>IF(A158="","",C158-D158)</f>
        <v/>
      </c>
      <c r="F158" s="3">
        <f>IF(A158="","",IF(D158=0,"",_xlfn.MAXIFS(Sales!C:C,Sales!D:D,A158)))</f>
        <v/>
      </c>
      <c r="G158">
        <f>IF(A158="","",IF(F158="","",TODAY()-F158))</f>
        <v/>
      </c>
      <c r="H158">
        <f>IF(A158="","",IF(E158&lt;=0,"Out of stock",IF(E158&lt;=5,"Low stock",IF(AND(G158&lt;&gt;"",G158&gt;=30),"Slow moving","OK"))))</f>
        <v/>
      </c>
    </row>
    <row r="159">
      <c r="A159">
        <f>IF(Products!A159="","",Products!A159)</f>
        <v/>
      </c>
      <c r="B159">
        <f>IF(A159="","",Products!C159)</f>
        <v/>
      </c>
      <c r="C159">
        <f>IF(A159="","",SUMIFS(Lots!F:F,Lots!B:B,A159))</f>
        <v/>
      </c>
      <c r="D159">
        <f>IF(A159="","",SUMIFS(Sales!F:F,Sales!D:D,A159))</f>
        <v/>
      </c>
      <c r="E159">
        <f>IF(A159="","",C159-D159)</f>
        <v/>
      </c>
      <c r="F159" s="3">
        <f>IF(A159="","",IF(D159=0,"",_xlfn.MAXIFS(Sales!C:C,Sales!D:D,A159)))</f>
        <v/>
      </c>
      <c r="G159">
        <f>IF(A159="","",IF(F159="","",TODAY()-F159))</f>
        <v/>
      </c>
      <c r="H159">
        <f>IF(A159="","",IF(E159&lt;=0,"Out of stock",IF(E159&lt;=5,"Low stock",IF(AND(G159&lt;&gt;"",G159&gt;=30),"Slow moving","OK"))))</f>
        <v/>
      </c>
    </row>
    <row r="160">
      <c r="A160">
        <f>IF(Products!A160="","",Products!A160)</f>
        <v/>
      </c>
      <c r="B160">
        <f>IF(A160="","",Products!C160)</f>
        <v/>
      </c>
      <c r="C160">
        <f>IF(A160="","",SUMIFS(Lots!F:F,Lots!B:B,A160))</f>
        <v/>
      </c>
      <c r="D160">
        <f>IF(A160="","",SUMIFS(Sales!F:F,Sales!D:D,A160))</f>
        <v/>
      </c>
      <c r="E160">
        <f>IF(A160="","",C160-D160)</f>
        <v/>
      </c>
      <c r="F160" s="3">
        <f>IF(A160="","",IF(D160=0,"",_xlfn.MAXIFS(Sales!C:C,Sales!D:D,A160)))</f>
        <v/>
      </c>
      <c r="G160">
        <f>IF(A160="","",IF(F160="","",TODAY()-F160))</f>
        <v/>
      </c>
      <c r="H160">
        <f>IF(A160="","",IF(E160&lt;=0,"Out of stock",IF(E160&lt;=5,"Low stock",IF(AND(G160&lt;&gt;"",G160&gt;=30),"Slow moving","OK"))))</f>
        <v/>
      </c>
    </row>
    <row r="161">
      <c r="A161">
        <f>IF(Products!A161="","",Products!A161)</f>
        <v/>
      </c>
      <c r="B161">
        <f>IF(A161="","",Products!C161)</f>
        <v/>
      </c>
      <c r="C161">
        <f>IF(A161="","",SUMIFS(Lots!F:F,Lots!B:B,A161))</f>
        <v/>
      </c>
      <c r="D161">
        <f>IF(A161="","",SUMIFS(Sales!F:F,Sales!D:D,A161))</f>
        <v/>
      </c>
      <c r="E161">
        <f>IF(A161="","",C161-D161)</f>
        <v/>
      </c>
      <c r="F161" s="3">
        <f>IF(A161="","",IF(D161=0,"",_xlfn.MAXIFS(Sales!C:C,Sales!D:D,A161)))</f>
        <v/>
      </c>
      <c r="G161">
        <f>IF(A161="","",IF(F161="","",TODAY()-F161))</f>
        <v/>
      </c>
      <c r="H161">
        <f>IF(A161="","",IF(E161&lt;=0,"Out of stock",IF(E161&lt;=5,"Low stock",IF(AND(G161&lt;&gt;"",G161&gt;=30),"Slow moving","OK"))))</f>
        <v/>
      </c>
    </row>
    <row r="162">
      <c r="A162">
        <f>IF(Products!A162="","",Products!A162)</f>
        <v/>
      </c>
      <c r="B162">
        <f>IF(A162="","",Products!C162)</f>
        <v/>
      </c>
      <c r="C162">
        <f>IF(A162="","",SUMIFS(Lots!F:F,Lots!B:B,A162))</f>
        <v/>
      </c>
      <c r="D162">
        <f>IF(A162="","",SUMIFS(Sales!F:F,Sales!D:D,A162))</f>
        <v/>
      </c>
      <c r="E162">
        <f>IF(A162="","",C162-D162)</f>
        <v/>
      </c>
      <c r="F162" s="3">
        <f>IF(A162="","",IF(D162=0,"",_xlfn.MAXIFS(Sales!C:C,Sales!D:D,A162)))</f>
        <v/>
      </c>
      <c r="G162">
        <f>IF(A162="","",IF(F162="","",TODAY()-F162))</f>
        <v/>
      </c>
      <c r="H162">
        <f>IF(A162="","",IF(E162&lt;=0,"Out of stock",IF(E162&lt;=5,"Low stock",IF(AND(G162&lt;&gt;"",G162&gt;=30),"Slow moving","OK"))))</f>
        <v/>
      </c>
    </row>
    <row r="163">
      <c r="A163">
        <f>IF(Products!A163="","",Products!A163)</f>
        <v/>
      </c>
      <c r="B163">
        <f>IF(A163="","",Products!C163)</f>
        <v/>
      </c>
      <c r="C163">
        <f>IF(A163="","",SUMIFS(Lots!F:F,Lots!B:B,A163))</f>
        <v/>
      </c>
      <c r="D163">
        <f>IF(A163="","",SUMIFS(Sales!F:F,Sales!D:D,A163))</f>
        <v/>
      </c>
      <c r="E163">
        <f>IF(A163="","",C163-D163)</f>
        <v/>
      </c>
      <c r="F163" s="3">
        <f>IF(A163="","",IF(D163=0,"",_xlfn.MAXIFS(Sales!C:C,Sales!D:D,A163)))</f>
        <v/>
      </c>
      <c r="G163">
        <f>IF(A163="","",IF(F163="","",TODAY()-F163))</f>
        <v/>
      </c>
      <c r="H163">
        <f>IF(A163="","",IF(E163&lt;=0,"Out of stock",IF(E163&lt;=5,"Low stock",IF(AND(G163&lt;&gt;"",G163&gt;=30),"Slow moving","OK"))))</f>
        <v/>
      </c>
    </row>
    <row r="164">
      <c r="A164">
        <f>IF(Products!A164="","",Products!A164)</f>
        <v/>
      </c>
      <c r="B164">
        <f>IF(A164="","",Products!C164)</f>
        <v/>
      </c>
      <c r="C164">
        <f>IF(A164="","",SUMIFS(Lots!F:F,Lots!B:B,A164))</f>
        <v/>
      </c>
      <c r="D164">
        <f>IF(A164="","",SUMIFS(Sales!F:F,Sales!D:D,A164))</f>
        <v/>
      </c>
      <c r="E164">
        <f>IF(A164="","",C164-D164)</f>
        <v/>
      </c>
      <c r="F164" s="3">
        <f>IF(A164="","",IF(D164=0,"",_xlfn.MAXIFS(Sales!C:C,Sales!D:D,A164)))</f>
        <v/>
      </c>
      <c r="G164">
        <f>IF(A164="","",IF(F164="","",TODAY()-F164))</f>
        <v/>
      </c>
      <c r="H164">
        <f>IF(A164="","",IF(E164&lt;=0,"Out of stock",IF(E164&lt;=5,"Low stock",IF(AND(G164&lt;&gt;"",G164&gt;=30),"Slow moving","OK"))))</f>
        <v/>
      </c>
    </row>
    <row r="165">
      <c r="A165">
        <f>IF(Products!A165="","",Products!A165)</f>
        <v/>
      </c>
      <c r="B165">
        <f>IF(A165="","",Products!C165)</f>
        <v/>
      </c>
      <c r="C165">
        <f>IF(A165="","",SUMIFS(Lots!F:F,Lots!B:B,A165))</f>
        <v/>
      </c>
      <c r="D165">
        <f>IF(A165="","",SUMIFS(Sales!F:F,Sales!D:D,A165))</f>
        <v/>
      </c>
      <c r="E165">
        <f>IF(A165="","",C165-D165)</f>
        <v/>
      </c>
      <c r="F165" s="3">
        <f>IF(A165="","",IF(D165=0,"",_xlfn.MAXIFS(Sales!C:C,Sales!D:D,A165)))</f>
        <v/>
      </c>
      <c r="G165">
        <f>IF(A165="","",IF(F165="","",TODAY()-F165))</f>
        <v/>
      </c>
      <c r="H165">
        <f>IF(A165="","",IF(E165&lt;=0,"Out of stock",IF(E165&lt;=5,"Low stock",IF(AND(G165&lt;&gt;"",G165&gt;=30),"Slow moving","OK"))))</f>
        <v/>
      </c>
    </row>
    <row r="166">
      <c r="A166">
        <f>IF(Products!A166="","",Products!A166)</f>
        <v/>
      </c>
      <c r="B166">
        <f>IF(A166="","",Products!C166)</f>
        <v/>
      </c>
      <c r="C166">
        <f>IF(A166="","",SUMIFS(Lots!F:F,Lots!B:B,A166))</f>
        <v/>
      </c>
      <c r="D166">
        <f>IF(A166="","",SUMIFS(Sales!F:F,Sales!D:D,A166))</f>
        <v/>
      </c>
      <c r="E166">
        <f>IF(A166="","",C166-D166)</f>
        <v/>
      </c>
      <c r="F166" s="3">
        <f>IF(A166="","",IF(D166=0,"",_xlfn.MAXIFS(Sales!C:C,Sales!D:D,A166)))</f>
        <v/>
      </c>
      <c r="G166">
        <f>IF(A166="","",IF(F166="","",TODAY()-F166))</f>
        <v/>
      </c>
      <c r="H166">
        <f>IF(A166="","",IF(E166&lt;=0,"Out of stock",IF(E166&lt;=5,"Low stock",IF(AND(G166&lt;&gt;"",G166&gt;=30),"Slow moving","OK"))))</f>
        <v/>
      </c>
    </row>
    <row r="167">
      <c r="A167">
        <f>IF(Products!A167="","",Products!A167)</f>
        <v/>
      </c>
      <c r="B167">
        <f>IF(A167="","",Products!C167)</f>
        <v/>
      </c>
      <c r="C167">
        <f>IF(A167="","",SUMIFS(Lots!F:F,Lots!B:B,A167))</f>
        <v/>
      </c>
      <c r="D167">
        <f>IF(A167="","",SUMIFS(Sales!F:F,Sales!D:D,A167))</f>
        <v/>
      </c>
      <c r="E167">
        <f>IF(A167="","",C167-D167)</f>
        <v/>
      </c>
      <c r="F167" s="3">
        <f>IF(A167="","",IF(D167=0,"",_xlfn.MAXIFS(Sales!C:C,Sales!D:D,A167)))</f>
        <v/>
      </c>
      <c r="G167">
        <f>IF(A167="","",IF(F167="","",TODAY()-F167))</f>
        <v/>
      </c>
      <c r="H167">
        <f>IF(A167="","",IF(E167&lt;=0,"Out of stock",IF(E167&lt;=5,"Low stock",IF(AND(G167&lt;&gt;"",G167&gt;=30),"Slow moving","OK"))))</f>
        <v/>
      </c>
    </row>
    <row r="168">
      <c r="A168">
        <f>IF(Products!A168="","",Products!A168)</f>
        <v/>
      </c>
      <c r="B168">
        <f>IF(A168="","",Products!C168)</f>
        <v/>
      </c>
      <c r="C168">
        <f>IF(A168="","",SUMIFS(Lots!F:F,Lots!B:B,A168))</f>
        <v/>
      </c>
      <c r="D168">
        <f>IF(A168="","",SUMIFS(Sales!F:F,Sales!D:D,A168))</f>
        <v/>
      </c>
      <c r="E168">
        <f>IF(A168="","",C168-D168)</f>
        <v/>
      </c>
      <c r="F168" s="3">
        <f>IF(A168="","",IF(D168=0,"",_xlfn.MAXIFS(Sales!C:C,Sales!D:D,A168)))</f>
        <v/>
      </c>
      <c r="G168">
        <f>IF(A168="","",IF(F168="","",TODAY()-F168))</f>
        <v/>
      </c>
      <c r="H168">
        <f>IF(A168="","",IF(E168&lt;=0,"Out of stock",IF(E168&lt;=5,"Low stock",IF(AND(G168&lt;&gt;"",G168&gt;=30),"Slow moving","OK"))))</f>
        <v/>
      </c>
    </row>
    <row r="169">
      <c r="A169">
        <f>IF(Products!A169="","",Products!A169)</f>
        <v/>
      </c>
      <c r="B169">
        <f>IF(A169="","",Products!C169)</f>
        <v/>
      </c>
      <c r="C169">
        <f>IF(A169="","",SUMIFS(Lots!F:F,Lots!B:B,A169))</f>
        <v/>
      </c>
      <c r="D169">
        <f>IF(A169="","",SUMIFS(Sales!F:F,Sales!D:D,A169))</f>
        <v/>
      </c>
      <c r="E169">
        <f>IF(A169="","",C169-D169)</f>
        <v/>
      </c>
      <c r="F169" s="3">
        <f>IF(A169="","",IF(D169=0,"",_xlfn.MAXIFS(Sales!C:C,Sales!D:D,A169)))</f>
        <v/>
      </c>
      <c r="G169">
        <f>IF(A169="","",IF(F169="","",TODAY()-F169))</f>
        <v/>
      </c>
      <c r="H169">
        <f>IF(A169="","",IF(E169&lt;=0,"Out of stock",IF(E169&lt;=5,"Low stock",IF(AND(G169&lt;&gt;"",G169&gt;=30),"Slow moving","OK"))))</f>
        <v/>
      </c>
    </row>
    <row r="170">
      <c r="A170">
        <f>IF(Products!A170="","",Products!A170)</f>
        <v/>
      </c>
      <c r="B170">
        <f>IF(A170="","",Products!C170)</f>
        <v/>
      </c>
      <c r="C170">
        <f>IF(A170="","",SUMIFS(Lots!F:F,Lots!B:B,A170))</f>
        <v/>
      </c>
      <c r="D170">
        <f>IF(A170="","",SUMIFS(Sales!F:F,Sales!D:D,A170))</f>
        <v/>
      </c>
      <c r="E170">
        <f>IF(A170="","",C170-D170)</f>
        <v/>
      </c>
      <c r="F170" s="3">
        <f>IF(A170="","",IF(D170=0,"",_xlfn.MAXIFS(Sales!C:C,Sales!D:D,A170)))</f>
        <v/>
      </c>
      <c r="G170">
        <f>IF(A170="","",IF(F170="","",TODAY()-F170))</f>
        <v/>
      </c>
      <c r="H170">
        <f>IF(A170="","",IF(E170&lt;=0,"Out of stock",IF(E170&lt;=5,"Low stock",IF(AND(G170&lt;&gt;"",G170&gt;=30),"Slow moving","OK"))))</f>
        <v/>
      </c>
    </row>
    <row r="171">
      <c r="A171">
        <f>IF(Products!A171="","",Products!A171)</f>
        <v/>
      </c>
      <c r="B171">
        <f>IF(A171="","",Products!C171)</f>
        <v/>
      </c>
      <c r="C171">
        <f>IF(A171="","",SUMIFS(Lots!F:F,Lots!B:B,A171))</f>
        <v/>
      </c>
      <c r="D171">
        <f>IF(A171="","",SUMIFS(Sales!F:F,Sales!D:D,A171))</f>
        <v/>
      </c>
      <c r="E171">
        <f>IF(A171="","",C171-D171)</f>
        <v/>
      </c>
      <c r="F171" s="3">
        <f>IF(A171="","",IF(D171=0,"",_xlfn.MAXIFS(Sales!C:C,Sales!D:D,A171)))</f>
        <v/>
      </c>
      <c r="G171">
        <f>IF(A171="","",IF(F171="","",TODAY()-F171))</f>
        <v/>
      </c>
      <c r="H171">
        <f>IF(A171="","",IF(E171&lt;=0,"Out of stock",IF(E171&lt;=5,"Low stock",IF(AND(G171&lt;&gt;"",G171&gt;=30),"Slow moving","OK"))))</f>
        <v/>
      </c>
    </row>
    <row r="172">
      <c r="A172">
        <f>IF(Products!A172="","",Products!A172)</f>
        <v/>
      </c>
      <c r="B172">
        <f>IF(A172="","",Products!C172)</f>
        <v/>
      </c>
      <c r="C172">
        <f>IF(A172="","",SUMIFS(Lots!F:F,Lots!B:B,A172))</f>
        <v/>
      </c>
      <c r="D172">
        <f>IF(A172="","",SUMIFS(Sales!F:F,Sales!D:D,A172))</f>
        <v/>
      </c>
      <c r="E172">
        <f>IF(A172="","",C172-D172)</f>
        <v/>
      </c>
      <c r="F172" s="3">
        <f>IF(A172="","",IF(D172=0,"",_xlfn.MAXIFS(Sales!C:C,Sales!D:D,A172)))</f>
        <v/>
      </c>
      <c r="G172">
        <f>IF(A172="","",IF(F172="","",TODAY()-F172))</f>
        <v/>
      </c>
      <c r="H172">
        <f>IF(A172="","",IF(E172&lt;=0,"Out of stock",IF(E172&lt;=5,"Low stock",IF(AND(G172&lt;&gt;"",G172&gt;=30),"Slow moving","OK"))))</f>
        <v/>
      </c>
    </row>
    <row r="173">
      <c r="A173">
        <f>IF(Products!A173="","",Products!A173)</f>
        <v/>
      </c>
      <c r="B173">
        <f>IF(A173="","",Products!C173)</f>
        <v/>
      </c>
      <c r="C173">
        <f>IF(A173="","",SUMIFS(Lots!F:F,Lots!B:B,A173))</f>
        <v/>
      </c>
      <c r="D173">
        <f>IF(A173="","",SUMIFS(Sales!F:F,Sales!D:D,A173))</f>
        <v/>
      </c>
      <c r="E173">
        <f>IF(A173="","",C173-D173)</f>
        <v/>
      </c>
      <c r="F173" s="3">
        <f>IF(A173="","",IF(D173=0,"",_xlfn.MAXIFS(Sales!C:C,Sales!D:D,A173)))</f>
        <v/>
      </c>
      <c r="G173">
        <f>IF(A173="","",IF(F173="","",TODAY()-F173))</f>
        <v/>
      </c>
      <c r="H173">
        <f>IF(A173="","",IF(E173&lt;=0,"Out of stock",IF(E173&lt;=5,"Low stock",IF(AND(G173&lt;&gt;"",G173&gt;=30),"Slow moving","OK"))))</f>
        <v/>
      </c>
    </row>
    <row r="174">
      <c r="A174">
        <f>IF(Products!A174="","",Products!A174)</f>
        <v/>
      </c>
      <c r="B174">
        <f>IF(A174="","",Products!C174)</f>
        <v/>
      </c>
      <c r="C174">
        <f>IF(A174="","",SUMIFS(Lots!F:F,Lots!B:B,A174))</f>
        <v/>
      </c>
      <c r="D174">
        <f>IF(A174="","",SUMIFS(Sales!F:F,Sales!D:D,A174))</f>
        <v/>
      </c>
      <c r="E174">
        <f>IF(A174="","",C174-D174)</f>
        <v/>
      </c>
      <c r="F174" s="3">
        <f>IF(A174="","",IF(D174=0,"",_xlfn.MAXIFS(Sales!C:C,Sales!D:D,A174)))</f>
        <v/>
      </c>
      <c r="G174">
        <f>IF(A174="","",IF(F174="","",TODAY()-F174))</f>
        <v/>
      </c>
      <c r="H174">
        <f>IF(A174="","",IF(E174&lt;=0,"Out of stock",IF(E174&lt;=5,"Low stock",IF(AND(G174&lt;&gt;"",G174&gt;=30),"Slow moving","OK"))))</f>
        <v/>
      </c>
    </row>
    <row r="175">
      <c r="A175">
        <f>IF(Products!A175="","",Products!A175)</f>
        <v/>
      </c>
      <c r="B175">
        <f>IF(A175="","",Products!C175)</f>
        <v/>
      </c>
      <c r="C175">
        <f>IF(A175="","",SUMIFS(Lots!F:F,Lots!B:B,A175))</f>
        <v/>
      </c>
      <c r="D175">
        <f>IF(A175="","",SUMIFS(Sales!F:F,Sales!D:D,A175))</f>
        <v/>
      </c>
      <c r="E175">
        <f>IF(A175="","",C175-D175)</f>
        <v/>
      </c>
      <c r="F175" s="3">
        <f>IF(A175="","",IF(D175=0,"",_xlfn.MAXIFS(Sales!C:C,Sales!D:D,A175)))</f>
        <v/>
      </c>
      <c r="G175">
        <f>IF(A175="","",IF(F175="","",TODAY()-F175))</f>
        <v/>
      </c>
      <c r="H175">
        <f>IF(A175="","",IF(E175&lt;=0,"Out of stock",IF(E175&lt;=5,"Low stock",IF(AND(G175&lt;&gt;"",G175&gt;=30),"Slow moving","OK"))))</f>
        <v/>
      </c>
    </row>
    <row r="176">
      <c r="A176">
        <f>IF(Products!A176="","",Products!A176)</f>
        <v/>
      </c>
      <c r="B176">
        <f>IF(A176="","",Products!C176)</f>
        <v/>
      </c>
      <c r="C176">
        <f>IF(A176="","",SUMIFS(Lots!F:F,Lots!B:B,A176))</f>
        <v/>
      </c>
      <c r="D176">
        <f>IF(A176="","",SUMIFS(Sales!F:F,Sales!D:D,A176))</f>
        <v/>
      </c>
      <c r="E176">
        <f>IF(A176="","",C176-D176)</f>
        <v/>
      </c>
      <c r="F176" s="3">
        <f>IF(A176="","",IF(D176=0,"",_xlfn.MAXIFS(Sales!C:C,Sales!D:D,A176)))</f>
        <v/>
      </c>
      <c r="G176">
        <f>IF(A176="","",IF(F176="","",TODAY()-F176))</f>
        <v/>
      </c>
      <c r="H176">
        <f>IF(A176="","",IF(E176&lt;=0,"Out of stock",IF(E176&lt;=5,"Low stock",IF(AND(G176&lt;&gt;"",G176&gt;=30),"Slow moving","OK"))))</f>
        <v/>
      </c>
    </row>
    <row r="177">
      <c r="A177">
        <f>IF(Products!A177="","",Products!A177)</f>
        <v/>
      </c>
      <c r="B177">
        <f>IF(A177="","",Products!C177)</f>
        <v/>
      </c>
      <c r="C177">
        <f>IF(A177="","",SUMIFS(Lots!F:F,Lots!B:B,A177))</f>
        <v/>
      </c>
      <c r="D177">
        <f>IF(A177="","",SUMIFS(Sales!F:F,Sales!D:D,A177))</f>
        <v/>
      </c>
      <c r="E177">
        <f>IF(A177="","",C177-D177)</f>
        <v/>
      </c>
      <c r="F177" s="3">
        <f>IF(A177="","",IF(D177=0,"",_xlfn.MAXIFS(Sales!C:C,Sales!D:D,A177)))</f>
        <v/>
      </c>
      <c r="G177">
        <f>IF(A177="","",IF(F177="","",TODAY()-F177))</f>
        <v/>
      </c>
      <c r="H177">
        <f>IF(A177="","",IF(E177&lt;=0,"Out of stock",IF(E177&lt;=5,"Low stock",IF(AND(G177&lt;&gt;"",G177&gt;=30),"Slow moving","OK"))))</f>
        <v/>
      </c>
    </row>
    <row r="178">
      <c r="A178">
        <f>IF(Products!A178="","",Products!A178)</f>
        <v/>
      </c>
      <c r="B178">
        <f>IF(A178="","",Products!C178)</f>
        <v/>
      </c>
      <c r="C178">
        <f>IF(A178="","",SUMIFS(Lots!F:F,Lots!B:B,A178))</f>
        <v/>
      </c>
      <c r="D178">
        <f>IF(A178="","",SUMIFS(Sales!F:F,Sales!D:D,A178))</f>
        <v/>
      </c>
      <c r="E178">
        <f>IF(A178="","",C178-D178)</f>
        <v/>
      </c>
      <c r="F178" s="3">
        <f>IF(A178="","",IF(D178=0,"",_xlfn.MAXIFS(Sales!C:C,Sales!D:D,A178)))</f>
        <v/>
      </c>
      <c r="G178">
        <f>IF(A178="","",IF(F178="","",TODAY()-F178))</f>
        <v/>
      </c>
      <c r="H178">
        <f>IF(A178="","",IF(E178&lt;=0,"Out of stock",IF(E178&lt;=5,"Low stock",IF(AND(G178&lt;&gt;"",G178&gt;=30),"Slow moving","OK"))))</f>
        <v/>
      </c>
    </row>
    <row r="179">
      <c r="A179">
        <f>IF(Products!A179="","",Products!A179)</f>
        <v/>
      </c>
      <c r="B179">
        <f>IF(A179="","",Products!C179)</f>
        <v/>
      </c>
      <c r="C179">
        <f>IF(A179="","",SUMIFS(Lots!F:F,Lots!B:B,A179))</f>
        <v/>
      </c>
      <c r="D179">
        <f>IF(A179="","",SUMIFS(Sales!F:F,Sales!D:D,A179))</f>
        <v/>
      </c>
      <c r="E179">
        <f>IF(A179="","",C179-D179)</f>
        <v/>
      </c>
      <c r="F179" s="3">
        <f>IF(A179="","",IF(D179=0,"",_xlfn.MAXIFS(Sales!C:C,Sales!D:D,A179)))</f>
        <v/>
      </c>
      <c r="G179">
        <f>IF(A179="","",IF(F179="","",TODAY()-F179))</f>
        <v/>
      </c>
      <c r="H179">
        <f>IF(A179="","",IF(E179&lt;=0,"Out of stock",IF(E179&lt;=5,"Low stock",IF(AND(G179&lt;&gt;"",G179&gt;=30),"Slow moving","OK"))))</f>
        <v/>
      </c>
    </row>
    <row r="180">
      <c r="A180">
        <f>IF(Products!A180="","",Products!A180)</f>
        <v/>
      </c>
      <c r="B180">
        <f>IF(A180="","",Products!C180)</f>
        <v/>
      </c>
      <c r="C180">
        <f>IF(A180="","",SUMIFS(Lots!F:F,Lots!B:B,A180))</f>
        <v/>
      </c>
      <c r="D180">
        <f>IF(A180="","",SUMIFS(Sales!F:F,Sales!D:D,A180))</f>
        <v/>
      </c>
      <c r="E180">
        <f>IF(A180="","",C180-D180)</f>
        <v/>
      </c>
      <c r="F180" s="3">
        <f>IF(A180="","",IF(D180=0,"",_xlfn.MAXIFS(Sales!C:C,Sales!D:D,A180)))</f>
        <v/>
      </c>
      <c r="G180">
        <f>IF(A180="","",IF(F180="","",TODAY()-F180))</f>
        <v/>
      </c>
      <c r="H180">
        <f>IF(A180="","",IF(E180&lt;=0,"Out of stock",IF(E180&lt;=5,"Low stock",IF(AND(G180&lt;&gt;"",G180&gt;=30),"Slow moving","OK"))))</f>
        <v/>
      </c>
    </row>
    <row r="181">
      <c r="A181">
        <f>IF(Products!A181="","",Products!A181)</f>
        <v/>
      </c>
      <c r="B181">
        <f>IF(A181="","",Products!C181)</f>
        <v/>
      </c>
      <c r="C181">
        <f>IF(A181="","",SUMIFS(Lots!F:F,Lots!B:B,A181))</f>
        <v/>
      </c>
      <c r="D181">
        <f>IF(A181="","",SUMIFS(Sales!F:F,Sales!D:D,A181))</f>
        <v/>
      </c>
      <c r="E181">
        <f>IF(A181="","",C181-D181)</f>
        <v/>
      </c>
      <c r="F181" s="3">
        <f>IF(A181="","",IF(D181=0,"",_xlfn.MAXIFS(Sales!C:C,Sales!D:D,A181)))</f>
        <v/>
      </c>
      <c r="G181">
        <f>IF(A181="","",IF(F181="","",TODAY()-F181))</f>
        <v/>
      </c>
      <c r="H181">
        <f>IF(A181="","",IF(E181&lt;=0,"Out of stock",IF(E181&lt;=5,"Low stock",IF(AND(G181&lt;&gt;"",G181&gt;=30),"Slow moving","OK"))))</f>
        <v/>
      </c>
    </row>
    <row r="182">
      <c r="A182">
        <f>IF(Products!A182="","",Products!A182)</f>
        <v/>
      </c>
      <c r="B182">
        <f>IF(A182="","",Products!C182)</f>
        <v/>
      </c>
      <c r="C182">
        <f>IF(A182="","",SUMIFS(Lots!F:F,Lots!B:B,A182))</f>
        <v/>
      </c>
      <c r="D182">
        <f>IF(A182="","",SUMIFS(Sales!F:F,Sales!D:D,A182))</f>
        <v/>
      </c>
      <c r="E182">
        <f>IF(A182="","",C182-D182)</f>
        <v/>
      </c>
      <c r="F182" s="3">
        <f>IF(A182="","",IF(D182=0,"",_xlfn.MAXIFS(Sales!C:C,Sales!D:D,A182)))</f>
        <v/>
      </c>
      <c r="G182">
        <f>IF(A182="","",IF(F182="","",TODAY()-F182))</f>
        <v/>
      </c>
      <c r="H182">
        <f>IF(A182="","",IF(E182&lt;=0,"Out of stock",IF(E182&lt;=5,"Low stock",IF(AND(G182&lt;&gt;"",G182&gt;=30),"Slow moving","OK"))))</f>
        <v/>
      </c>
    </row>
    <row r="183">
      <c r="A183">
        <f>IF(Products!A183="","",Products!A183)</f>
        <v/>
      </c>
      <c r="B183">
        <f>IF(A183="","",Products!C183)</f>
        <v/>
      </c>
      <c r="C183">
        <f>IF(A183="","",SUMIFS(Lots!F:F,Lots!B:B,A183))</f>
        <v/>
      </c>
      <c r="D183">
        <f>IF(A183="","",SUMIFS(Sales!F:F,Sales!D:D,A183))</f>
        <v/>
      </c>
      <c r="E183">
        <f>IF(A183="","",C183-D183)</f>
        <v/>
      </c>
      <c r="F183" s="3">
        <f>IF(A183="","",IF(D183=0,"",_xlfn.MAXIFS(Sales!C:C,Sales!D:D,A183)))</f>
        <v/>
      </c>
      <c r="G183">
        <f>IF(A183="","",IF(F183="","",TODAY()-F183))</f>
        <v/>
      </c>
      <c r="H183">
        <f>IF(A183="","",IF(E183&lt;=0,"Out of stock",IF(E183&lt;=5,"Low stock",IF(AND(G183&lt;&gt;"",G183&gt;=30),"Slow moving","OK"))))</f>
        <v/>
      </c>
    </row>
    <row r="184">
      <c r="A184">
        <f>IF(Products!A184="","",Products!A184)</f>
        <v/>
      </c>
      <c r="B184">
        <f>IF(A184="","",Products!C184)</f>
        <v/>
      </c>
      <c r="C184">
        <f>IF(A184="","",SUMIFS(Lots!F:F,Lots!B:B,A184))</f>
        <v/>
      </c>
      <c r="D184">
        <f>IF(A184="","",SUMIFS(Sales!F:F,Sales!D:D,A184))</f>
        <v/>
      </c>
      <c r="E184">
        <f>IF(A184="","",C184-D184)</f>
        <v/>
      </c>
      <c r="F184" s="3">
        <f>IF(A184="","",IF(D184=0,"",_xlfn.MAXIFS(Sales!C:C,Sales!D:D,A184)))</f>
        <v/>
      </c>
      <c r="G184">
        <f>IF(A184="","",IF(F184="","",TODAY()-F184))</f>
        <v/>
      </c>
      <c r="H184">
        <f>IF(A184="","",IF(E184&lt;=0,"Out of stock",IF(E184&lt;=5,"Low stock",IF(AND(G184&lt;&gt;"",G184&gt;=30),"Slow moving","OK"))))</f>
        <v/>
      </c>
    </row>
    <row r="185">
      <c r="A185">
        <f>IF(Products!A185="","",Products!A185)</f>
        <v/>
      </c>
      <c r="B185">
        <f>IF(A185="","",Products!C185)</f>
        <v/>
      </c>
      <c r="C185">
        <f>IF(A185="","",SUMIFS(Lots!F:F,Lots!B:B,A185))</f>
        <v/>
      </c>
      <c r="D185">
        <f>IF(A185="","",SUMIFS(Sales!F:F,Sales!D:D,A185))</f>
        <v/>
      </c>
      <c r="E185">
        <f>IF(A185="","",C185-D185)</f>
        <v/>
      </c>
      <c r="F185" s="3">
        <f>IF(A185="","",IF(D185=0,"",_xlfn.MAXIFS(Sales!C:C,Sales!D:D,A185)))</f>
        <v/>
      </c>
      <c r="G185">
        <f>IF(A185="","",IF(F185="","",TODAY()-F185))</f>
        <v/>
      </c>
      <c r="H185">
        <f>IF(A185="","",IF(E185&lt;=0,"Out of stock",IF(E185&lt;=5,"Low stock",IF(AND(G185&lt;&gt;"",G185&gt;=30),"Slow moving","OK"))))</f>
        <v/>
      </c>
    </row>
    <row r="186">
      <c r="A186">
        <f>IF(Products!A186="","",Products!A186)</f>
        <v/>
      </c>
      <c r="B186">
        <f>IF(A186="","",Products!C186)</f>
        <v/>
      </c>
      <c r="C186">
        <f>IF(A186="","",SUMIFS(Lots!F:F,Lots!B:B,A186))</f>
        <v/>
      </c>
      <c r="D186">
        <f>IF(A186="","",SUMIFS(Sales!F:F,Sales!D:D,A186))</f>
        <v/>
      </c>
      <c r="E186">
        <f>IF(A186="","",C186-D186)</f>
        <v/>
      </c>
      <c r="F186" s="3">
        <f>IF(A186="","",IF(D186=0,"",_xlfn.MAXIFS(Sales!C:C,Sales!D:D,A186)))</f>
        <v/>
      </c>
      <c r="G186">
        <f>IF(A186="","",IF(F186="","",TODAY()-F186))</f>
        <v/>
      </c>
      <c r="H186">
        <f>IF(A186="","",IF(E186&lt;=0,"Out of stock",IF(E186&lt;=5,"Low stock",IF(AND(G186&lt;&gt;"",G186&gt;=30),"Slow moving","OK"))))</f>
        <v/>
      </c>
    </row>
    <row r="187">
      <c r="A187">
        <f>IF(Products!A187="","",Products!A187)</f>
        <v/>
      </c>
      <c r="B187">
        <f>IF(A187="","",Products!C187)</f>
        <v/>
      </c>
      <c r="C187">
        <f>IF(A187="","",SUMIFS(Lots!F:F,Lots!B:B,A187))</f>
        <v/>
      </c>
      <c r="D187">
        <f>IF(A187="","",SUMIFS(Sales!F:F,Sales!D:D,A187))</f>
        <v/>
      </c>
      <c r="E187">
        <f>IF(A187="","",C187-D187)</f>
        <v/>
      </c>
      <c r="F187" s="3">
        <f>IF(A187="","",IF(D187=0,"",_xlfn.MAXIFS(Sales!C:C,Sales!D:D,A187)))</f>
        <v/>
      </c>
      <c r="G187">
        <f>IF(A187="","",IF(F187="","",TODAY()-F187))</f>
        <v/>
      </c>
      <c r="H187">
        <f>IF(A187="","",IF(E187&lt;=0,"Out of stock",IF(E187&lt;=5,"Low stock",IF(AND(G187&lt;&gt;"",G187&gt;=30),"Slow moving","OK"))))</f>
        <v/>
      </c>
    </row>
    <row r="188">
      <c r="A188">
        <f>IF(Products!A188="","",Products!A188)</f>
        <v/>
      </c>
      <c r="B188">
        <f>IF(A188="","",Products!C188)</f>
        <v/>
      </c>
      <c r="C188">
        <f>IF(A188="","",SUMIFS(Lots!F:F,Lots!B:B,A188))</f>
        <v/>
      </c>
      <c r="D188">
        <f>IF(A188="","",SUMIFS(Sales!F:F,Sales!D:D,A188))</f>
        <v/>
      </c>
      <c r="E188">
        <f>IF(A188="","",C188-D188)</f>
        <v/>
      </c>
      <c r="F188" s="3">
        <f>IF(A188="","",IF(D188=0,"",_xlfn.MAXIFS(Sales!C:C,Sales!D:D,A188)))</f>
        <v/>
      </c>
      <c r="G188">
        <f>IF(A188="","",IF(F188="","",TODAY()-F188))</f>
        <v/>
      </c>
      <c r="H188">
        <f>IF(A188="","",IF(E188&lt;=0,"Out of stock",IF(E188&lt;=5,"Low stock",IF(AND(G188&lt;&gt;"",G188&gt;=30),"Slow moving","OK"))))</f>
        <v/>
      </c>
    </row>
    <row r="189">
      <c r="A189">
        <f>IF(Products!A189="","",Products!A189)</f>
        <v/>
      </c>
      <c r="B189">
        <f>IF(A189="","",Products!C189)</f>
        <v/>
      </c>
      <c r="C189">
        <f>IF(A189="","",SUMIFS(Lots!F:F,Lots!B:B,A189))</f>
        <v/>
      </c>
      <c r="D189">
        <f>IF(A189="","",SUMIFS(Sales!F:F,Sales!D:D,A189))</f>
        <v/>
      </c>
      <c r="E189">
        <f>IF(A189="","",C189-D189)</f>
        <v/>
      </c>
      <c r="F189" s="3">
        <f>IF(A189="","",IF(D189=0,"",_xlfn.MAXIFS(Sales!C:C,Sales!D:D,A189)))</f>
        <v/>
      </c>
      <c r="G189">
        <f>IF(A189="","",IF(F189="","",TODAY()-F189))</f>
        <v/>
      </c>
      <c r="H189">
        <f>IF(A189="","",IF(E189&lt;=0,"Out of stock",IF(E189&lt;=5,"Low stock",IF(AND(G189&lt;&gt;"",G189&gt;=30),"Slow moving","OK"))))</f>
        <v/>
      </c>
    </row>
    <row r="190">
      <c r="A190">
        <f>IF(Products!A190="","",Products!A190)</f>
        <v/>
      </c>
      <c r="B190">
        <f>IF(A190="","",Products!C190)</f>
        <v/>
      </c>
      <c r="C190">
        <f>IF(A190="","",SUMIFS(Lots!F:F,Lots!B:B,A190))</f>
        <v/>
      </c>
      <c r="D190">
        <f>IF(A190="","",SUMIFS(Sales!F:F,Sales!D:D,A190))</f>
        <v/>
      </c>
      <c r="E190">
        <f>IF(A190="","",C190-D190)</f>
        <v/>
      </c>
      <c r="F190" s="3">
        <f>IF(A190="","",IF(D190=0,"",_xlfn.MAXIFS(Sales!C:C,Sales!D:D,A190)))</f>
        <v/>
      </c>
      <c r="G190">
        <f>IF(A190="","",IF(F190="","",TODAY()-F190))</f>
        <v/>
      </c>
      <c r="H190">
        <f>IF(A190="","",IF(E190&lt;=0,"Out of stock",IF(E190&lt;=5,"Low stock",IF(AND(G190&lt;&gt;"",G190&gt;=30),"Slow moving","OK"))))</f>
        <v/>
      </c>
    </row>
    <row r="191">
      <c r="A191">
        <f>IF(Products!A191="","",Products!A191)</f>
        <v/>
      </c>
      <c r="B191">
        <f>IF(A191="","",Products!C191)</f>
        <v/>
      </c>
      <c r="C191">
        <f>IF(A191="","",SUMIFS(Lots!F:F,Lots!B:B,A191))</f>
        <v/>
      </c>
      <c r="D191">
        <f>IF(A191="","",SUMIFS(Sales!F:F,Sales!D:D,A191))</f>
        <v/>
      </c>
      <c r="E191">
        <f>IF(A191="","",C191-D191)</f>
        <v/>
      </c>
      <c r="F191" s="3">
        <f>IF(A191="","",IF(D191=0,"",_xlfn.MAXIFS(Sales!C:C,Sales!D:D,A191)))</f>
        <v/>
      </c>
      <c r="G191">
        <f>IF(A191="","",IF(F191="","",TODAY()-F191))</f>
        <v/>
      </c>
      <c r="H191">
        <f>IF(A191="","",IF(E191&lt;=0,"Out of stock",IF(E191&lt;=5,"Low stock",IF(AND(G191&lt;&gt;"",G191&gt;=30),"Slow moving","OK"))))</f>
        <v/>
      </c>
    </row>
    <row r="192">
      <c r="A192">
        <f>IF(Products!A192="","",Products!A192)</f>
        <v/>
      </c>
      <c r="B192">
        <f>IF(A192="","",Products!C192)</f>
        <v/>
      </c>
      <c r="C192">
        <f>IF(A192="","",SUMIFS(Lots!F:F,Lots!B:B,A192))</f>
        <v/>
      </c>
      <c r="D192">
        <f>IF(A192="","",SUMIFS(Sales!F:F,Sales!D:D,A192))</f>
        <v/>
      </c>
      <c r="E192">
        <f>IF(A192="","",C192-D192)</f>
        <v/>
      </c>
      <c r="F192" s="3">
        <f>IF(A192="","",IF(D192=0,"",_xlfn.MAXIFS(Sales!C:C,Sales!D:D,A192)))</f>
        <v/>
      </c>
      <c r="G192">
        <f>IF(A192="","",IF(F192="","",TODAY()-F192))</f>
        <v/>
      </c>
      <c r="H192">
        <f>IF(A192="","",IF(E192&lt;=0,"Out of stock",IF(E192&lt;=5,"Low stock",IF(AND(G192&lt;&gt;"",G192&gt;=30),"Slow moving","OK"))))</f>
        <v/>
      </c>
    </row>
    <row r="193">
      <c r="A193">
        <f>IF(Products!A193="","",Products!A193)</f>
        <v/>
      </c>
      <c r="B193">
        <f>IF(A193="","",Products!C193)</f>
        <v/>
      </c>
      <c r="C193">
        <f>IF(A193="","",SUMIFS(Lots!F:F,Lots!B:B,A193))</f>
        <v/>
      </c>
      <c r="D193">
        <f>IF(A193="","",SUMIFS(Sales!F:F,Sales!D:D,A193))</f>
        <v/>
      </c>
      <c r="E193">
        <f>IF(A193="","",C193-D193)</f>
        <v/>
      </c>
      <c r="F193" s="3">
        <f>IF(A193="","",IF(D193=0,"",_xlfn.MAXIFS(Sales!C:C,Sales!D:D,A193)))</f>
        <v/>
      </c>
      <c r="G193">
        <f>IF(A193="","",IF(F193="","",TODAY()-F193))</f>
        <v/>
      </c>
      <c r="H193">
        <f>IF(A193="","",IF(E193&lt;=0,"Out of stock",IF(E193&lt;=5,"Low stock",IF(AND(G193&lt;&gt;"",G193&gt;=30),"Slow moving","OK"))))</f>
        <v/>
      </c>
    </row>
    <row r="194">
      <c r="A194">
        <f>IF(Products!A194="","",Products!A194)</f>
        <v/>
      </c>
      <c r="B194">
        <f>IF(A194="","",Products!C194)</f>
        <v/>
      </c>
      <c r="C194">
        <f>IF(A194="","",SUMIFS(Lots!F:F,Lots!B:B,A194))</f>
        <v/>
      </c>
      <c r="D194">
        <f>IF(A194="","",SUMIFS(Sales!F:F,Sales!D:D,A194))</f>
        <v/>
      </c>
      <c r="E194">
        <f>IF(A194="","",C194-D194)</f>
        <v/>
      </c>
      <c r="F194" s="3">
        <f>IF(A194="","",IF(D194=0,"",_xlfn.MAXIFS(Sales!C:C,Sales!D:D,A194)))</f>
        <v/>
      </c>
      <c r="G194">
        <f>IF(A194="","",IF(F194="","",TODAY()-F194))</f>
        <v/>
      </c>
      <c r="H194">
        <f>IF(A194="","",IF(E194&lt;=0,"Out of stock",IF(E194&lt;=5,"Low stock",IF(AND(G194&lt;&gt;"",G194&gt;=30),"Slow moving","OK"))))</f>
        <v/>
      </c>
    </row>
    <row r="195">
      <c r="A195">
        <f>IF(Products!A195="","",Products!A195)</f>
        <v/>
      </c>
      <c r="B195">
        <f>IF(A195="","",Products!C195)</f>
        <v/>
      </c>
      <c r="C195">
        <f>IF(A195="","",SUMIFS(Lots!F:F,Lots!B:B,A195))</f>
        <v/>
      </c>
      <c r="D195">
        <f>IF(A195="","",SUMIFS(Sales!F:F,Sales!D:D,A195))</f>
        <v/>
      </c>
      <c r="E195">
        <f>IF(A195="","",C195-D195)</f>
        <v/>
      </c>
      <c r="F195" s="3">
        <f>IF(A195="","",IF(D195=0,"",_xlfn.MAXIFS(Sales!C:C,Sales!D:D,A195)))</f>
        <v/>
      </c>
      <c r="G195">
        <f>IF(A195="","",IF(F195="","",TODAY()-F195))</f>
        <v/>
      </c>
      <c r="H195">
        <f>IF(A195="","",IF(E195&lt;=0,"Out of stock",IF(E195&lt;=5,"Low stock",IF(AND(G195&lt;&gt;"",G195&gt;=30),"Slow moving","OK"))))</f>
        <v/>
      </c>
    </row>
    <row r="196">
      <c r="A196">
        <f>IF(Products!A196="","",Products!A196)</f>
        <v/>
      </c>
      <c r="B196">
        <f>IF(A196="","",Products!C196)</f>
        <v/>
      </c>
      <c r="C196">
        <f>IF(A196="","",SUMIFS(Lots!F:F,Lots!B:B,A196))</f>
        <v/>
      </c>
      <c r="D196">
        <f>IF(A196="","",SUMIFS(Sales!F:F,Sales!D:D,A196))</f>
        <v/>
      </c>
      <c r="E196">
        <f>IF(A196="","",C196-D196)</f>
        <v/>
      </c>
      <c r="F196" s="3">
        <f>IF(A196="","",IF(D196=0,"",_xlfn.MAXIFS(Sales!C:C,Sales!D:D,A196)))</f>
        <v/>
      </c>
      <c r="G196">
        <f>IF(A196="","",IF(F196="","",TODAY()-F196))</f>
        <v/>
      </c>
      <c r="H196">
        <f>IF(A196="","",IF(E196&lt;=0,"Out of stock",IF(E196&lt;=5,"Low stock",IF(AND(G196&lt;&gt;"",G196&gt;=30),"Slow moving","OK"))))</f>
        <v/>
      </c>
    </row>
    <row r="197">
      <c r="A197">
        <f>IF(Products!A197="","",Products!A197)</f>
        <v/>
      </c>
      <c r="B197">
        <f>IF(A197="","",Products!C197)</f>
        <v/>
      </c>
      <c r="C197">
        <f>IF(A197="","",SUMIFS(Lots!F:F,Lots!B:B,A197))</f>
        <v/>
      </c>
      <c r="D197">
        <f>IF(A197="","",SUMIFS(Sales!F:F,Sales!D:D,A197))</f>
        <v/>
      </c>
      <c r="E197">
        <f>IF(A197="","",C197-D197)</f>
        <v/>
      </c>
      <c r="F197" s="3">
        <f>IF(A197="","",IF(D197=0,"",_xlfn.MAXIFS(Sales!C:C,Sales!D:D,A197)))</f>
        <v/>
      </c>
      <c r="G197">
        <f>IF(A197="","",IF(F197="","",TODAY()-F197))</f>
        <v/>
      </c>
      <c r="H197">
        <f>IF(A197="","",IF(E197&lt;=0,"Out of stock",IF(E197&lt;=5,"Low stock",IF(AND(G197&lt;&gt;"",G197&gt;=30),"Slow moving","OK"))))</f>
        <v/>
      </c>
    </row>
    <row r="198">
      <c r="A198">
        <f>IF(Products!A198="","",Products!A198)</f>
        <v/>
      </c>
      <c r="B198">
        <f>IF(A198="","",Products!C198)</f>
        <v/>
      </c>
      <c r="C198">
        <f>IF(A198="","",SUMIFS(Lots!F:F,Lots!B:B,A198))</f>
        <v/>
      </c>
      <c r="D198">
        <f>IF(A198="","",SUMIFS(Sales!F:F,Sales!D:D,A198))</f>
        <v/>
      </c>
      <c r="E198">
        <f>IF(A198="","",C198-D198)</f>
        <v/>
      </c>
      <c r="F198" s="3">
        <f>IF(A198="","",IF(D198=0,"",_xlfn.MAXIFS(Sales!C:C,Sales!D:D,A198)))</f>
        <v/>
      </c>
      <c r="G198">
        <f>IF(A198="","",IF(F198="","",TODAY()-F198))</f>
        <v/>
      </c>
      <c r="H198">
        <f>IF(A198="","",IF(E198&lt;=0,"Out of stock",IF(E198&lt;=5,"Low stock",IF(AND(G198&lt;&gt;"",G198&gt;=30),"Slow moving","OK"))))</f>
        <v/>
      </c>
    </row>
    <row r="199">
      <c r="A199">
        <f>IF(Products!A199="","",Products!A199)</f>
        <v/>
      </c>
      <c r="B199">
        <f>IF(A199="","",Products!C199)</f>
        <v/>
      </c>
      <c r="C199">
        <f>IF(A199="","",SUMIFS(Lots!F:F,Lots!B:B,A199))</f>
        <v/>
      </c>
      <c r="D199">
        <f>IF(A199="","",SUMIFS(Sales!F:F,Sales!D:D,A199))</f>
        <v/>
      </c>
      <c r="E199">
        <f>IF(A199="","",C199-D199)</f>
        <v/>
      </c>
      <c r="F199" s="3">
        <f>IF(A199="","",IF(D199=0,"",_xlfn.MAXIFS(Sales!C:C,Sales!D:D,A199)))</f>
        <v/>
      </c>
      <c r="G199">
        <f>IF(A199="","",IF(F199="","",TODAY()-F199))</f>
        <v/>
      </c>
      <c r="H199">
        <f>IF(A199="","",IF(E199&lt;=0,"Out of stock",IF(E199&lt;=5,"Low stock",IF(AND(G199&lt;&gt;"",G199&gt;=30),"Slow moving","OK"))))</f>
        <v/>
      </c>
    </row>
    <row r="200">
      <c r="A200">
        <f>IF(Products!A200="","",Products!A200)</f>
        <v/>
      </c>
      <c r="B200">
        <f>IF(A200="","",Products!C200)</f>
        <v/>
      </c>
      <c r="C200">
        <f>IF(A200="","",SUMIFS(Lots!F:F,Lots!B:B,A200))</f>
        <v/>
      </c>
      <c r="D200">
        <f>IF(A200="","",SUMIFS(Sales!F:F,Sales!D:D,A200))</f>
        <v/>
      </c>
      <c r="E200">
        <f>IF(A200="","",C200-D200)</f>
        <v/>
      </c>
      <c r="F200" s="3">
        <f>IF(A200="","",IF(D200=0,"",_xlfn.MAXIFS(Sales!C:C,Sales!D:D,A200)))</f>
        <v/>
      </c>
      <c r="G200">
        <f>IF(A200="","",IF(F200="","",TODAY()-F200))</f>
        <v/>
      </c>
      <c r="H200">
        <f>IF(A200="","",IF(E200&lt;=0,"Out of stock",IF(E200&lt;=5,"Low stock",IF(AND(G200&lt;&gt;"",G200&gt;=30),"Slow moving","OK"))))</f>
        <v/>
      </c>
    </row>
    <row r="201">
      <c r="A201">
        <f>IF(Products!A201="","",Products!A201)</f>
        <v/>
      </c>
      <c r="B201">
        <f>IF(A201="","",Products!C201)</f>
        <v/>
      </c>
      <c r="C201">
        <f>IF(A201="","",SUMIFS(Lots!F:F,Lots!B:B,A201))</f>
        <v/>
      </c>
      <c r="D201">
        <f>IF(A201="","",SUMIFS(Sales!F:F,Sales!D:D,A201))</f>
        <v/>
      </c>
      <c r="E201">
        <f>IF(A201="","",C201-D201)</f>
        <v/>
      </c>
      <c r="F201" s="3">
        <f>IF(A201="","",IF(D201=0,"",_xlfn.MAXIFS(Sales!C:C,Sales!D:D,A201)))</f>
        <v/>
      </c>
      <c r="G201">
        <f>IF(A201="","",IF(F201="","",TODAY()-F201))</f>
        <v/>
      </c>
      <c r="H201">
        <f>IF(A201="","",IF(E201&lt;=0,"Out of stock",IF(E201&lt;=5,"Low stock",IF(AND(G201&lt;&gt;"",G201&gt;=30),"Slow moving","OK"))))</f>
        <v/>
      </c>
    </row>
    <row r="202">
      <c r="A202">
        <f>IF(Products!A202="","",Products!A202)</f>
        <v/>
      </c>
      <c r="B202">
        <f>IF(A202="","",Products!C202)</f>
        <v/>
      </c>
      <c r="C202">
        <f>IF(A202="","",SUMIFS(Lots!F:F,Lots!B:B,A202))</f>
        <v/>
      </c>
      <c r="D202">
        <f>IF(A202="","",SUMIFS(Sales!F:F,Sales!D:D,A202))</f>
        <v/>
      </c>
      <c r="E202">
        <f>IF(A202="","",C202-D202)</f>
        <v/>
      </c>
      <c r="F202" s="3">
        <f>IF(A202="","",IF(D202=0,"",_xlfn.MAXIFS(Sales!C:C,Sales!D:D,A202)))</f>
        <v/>
      </c>
      <c r="G202">
        <f>IF(A202="","",IF(F202="","",TODAY()-F202))</f>
        <v/>
      </c>
      <c r="H202">
        <f>IF(A202="","",IF(E202&lt;=0,"Out of stock",IF(E202&lt;=5,"Low stock",IF(AND(G202&lt;&gt;"",G202&gt;=30),"Slow moving","OK"))))</f>
        <v/>
      </c>
    </row>
    <row r="203">
      <c r="A203">
        <f>IF(Products!A203="","",Products!A203)</f>
        <v/>
      </c>
      <c r="B203">
        <f>IF(A203="","",Products!C203)</f>
        <v/>
      </c>
      <c r="C203">
        <f>IF(A203="","",SUMIFS(Lots!F:F,Lots!B:B,A203))</f>
        <v/>
      </c>
      <c r="D203">
        <f>IF(A203="","",SUMIFS(Sales!F:F,Sales!D:D,A203))</f>
        <v/>
      </c>
      <c r="E203">
        <f>IF(A203="","",C203-D203)</f>
        <v/>
      </c>
      <c r="F203" s="3">
        <f>IF(A203="","",IF(D203=0,"",_xlfn.MAXIFS(Sales!C:C,Sales!D:D,A203)))</f>
        <v/>
      </c>
      <c r="G203">
        <f>IF(A203="","",IF(F203="","",TODAY()-F203))</f>
        <v/>
      </c>
      <c r="H203">
        <f>IF(A203="","",IF(E203&lt;=0,"Out of stock",IF(E203&lt;=5,"Low stock",IF(AND(G203&lt;&gt;"",G203&gt;=30),"Slow moving","OK"))))</f>
        <v/>
      </c>
    </row>
    <row r="204">
      <c r="A204">
        <f>IF(Products!A204="","",Products!A204)</f>
        <v/>
      </c>
      <c r="B204">
        <f>IF(A204="","",Products!C204)</f>
        <v/>
      </c>
      <c r="C204">
        <f>IF(A204="","",SUMIFS(Lots!F:F,Lots!B:B,A204))</f>
        <v/>
      </c>
      <c r="D204">
        <f>IF(A204="","",SUMIFS(Sales!F:F,Sales!D:D,A204))</f>
        <v/>
      </c>
      <c r="E204">
        <f>IF(A204="","",C204-D204)</f>
        <v/>
      </c>
      <c r="F204" s="3">
        <f>IF(A204="","",IF(D204=0,"",_xlfn.MAXIFS(Sales!C:C,Sales!D:D,A204)))</f>
        <v/>
      </c>
      <c r="G204">
        <f>IF(A204="","",IF(F204="","",TODAY()-F204))</f>
        <v/>
      </c>
      <c r="H204">
        <f>IF(A204="","",IF(E204&lt;=0,"Out of stock",IF(E204&lt;=5,"Low stock",IF(AND(G204&lt;&gt;"",G204&gt;=30),"Slow moving","OK"))))</f>
        <v/>
      </c>
    </row>
    <row r="205">
      <c r="A205">
        <f>IF(Products!A205="","",Products!A205)</f>
        <v/>
      </c>
      <c r="B205">
        <f>IF(A205="","",Products!C205)</f>
        <v/>
      </c>
      <c r="C205">
        <f>IF(A205="","",SUMIFS(Lots!F:F,Lots!B:B,A205))</f>
        <v/>
      </c>
      <c r="D205">
        <f>IF(A205="","",SUMIFS(Sales!F:F,Sales!D:D,A205))</f>
        <v/>
      </c>
      <c r="E205">
        <f>IF(A205="","",C205-D205)</f>
        <v/>
      </c>
      <c r="F205" s="3">
        <f>IF(A205="","",IF(D205=0,"",_xlfn.MAXIFS(Sales!C:C,Sales!D:D,A205)))</f>
        <v/>
      </c>
      <c r="G205">
        <f>IF(A205="","",IF(F205="","",TODAY()-F205))</f>
        <v/>
      </c>
      <c r="H205">
        <f>IF(A205="","",IF(E205&lt;=0,"Out of stock",IF(E205&lt;=5,"Low stock",IF(AND(G205&lt;&gt;"",G205&gt;=30),"Slow moving","OK"))))</f>
        <v/>
      </c>
    </row>
    <row r="206">
      <c r="A206">
        <f>IF(Products!A206="","",Products!A206)</f>
        <v/>
      </c>
      <c r="B206">
        <f>IF(A206="","",Products!C206)</f>
        <v/>
      </c>
      <c r="C206">
        <f>IF(A206="","",SUMIFS(Lots!F:F,Lots!B:B,A206))</f>
        <v/>
      </c>
      <c r="D206">
        <f>IF(A206="","",SUMIFS(Sales!F:F,Sales!D:D,A206))</f>
        <v/>
      </c>
      <c r="E206">
        <f>IF(A206="","",C206-D206)</f>
        <v/>
      </c>
      <c r="F206" s="3">
        <f>IF(A206="","",IF(D206=0,"",_xlfn.MAXIFS(Sales!C:C,Sales!D:D,A206)))</f>
        <v/>
      </c>
      <c r="G206">
        <f>IF(A206="","",IF(F206="","",TODAY()-F206))</f>
        <v/>
      </c>
      <c r="H206">
        <f>IF(A206="","",IF(E206&lt;=0,"Out of stock",IF(E206&lt;=5,"Low stock",IF(AND(G206&lt;&gt;"",G206&gt;=30),"Slow moving","OK"))))</f>
        <v/>
      </c>
    </row>
    <row r="207">
      <c r="A207">
        <f>IF(Products!A207="","",Products!A207)</f>
        <v/>
      </c>
      <c r="B207">
        <f>IF(A207="","",Products!C207)</f>
        <v/>
      </c>
      <c r="C207">
        <f>IF(A207="","",SUMIFS(Lots!F:F,Lots!B:B,A207))</f>
        <v/>
      </c>
      <c r="D207">
        <f>IF(A207="","",SUMIFS(Sales!F:F,Sales!D:D,A207))</f>
        <v/>
      </c>
      <c r="E207">
        <f>IF(A207="","",C207-D207)</f>
        <v/>
      </c>
      <c r="F207" s="3">
        <f>IF(A207="","",IF(D207=0,"",_xlfn.MAXIFS(Sales!C:C,Sales!D:D,A207)))</f>
        <v/>
      </c>
      <c r="G207">
        <f>IF(A207="","",IF(F207="","",TODAY()-F207))</f>
        <v/>
      </c>
      <c r="H207">
        <f>IF(A207="","",IF(E207&lt;=0,"Out of stock",IF(E207&lt;=5,"Low stock",IF(AND(G207&lt;&gt;"",G207&gt;=30),"Slow moving","OK"))))</f>
        <v/>
      </c>
    </row>
    <row r="208">
      <c r="A208">
        <f>IF(Products!A208="","",Products!A208)</f>
        <v/>
      </c>
      <c r="B208">
        <f>IF(A208="","",Products!C208)</f>
        <v/>
      </c>
      <c r="C208">
        <f>IF(A208="","",SUMIFS(Lots!F:F,Lots!B:B,A208))</f>
        <v/>
      </c>
      <c r="D208">
        <f>IF(A208="","",SUMIFS(Sales!F:F,Sales!D:D,A208))</f>
        <v/>
      </c>
      <c r="E208">
        <f>IF(A208="","",C208-D208)</f>
        <v/>
      </c>
      <c r="F208" s="3">
        <f>IF(A208="","",IF(D208=0,"",_xlfn.MAXIFS(Sales!C:C,Sales!D:D,A208)))</f>
        <v/>
      </c>
      <c r="G208">
        <f>IF(A208="","",IF(F208="","",TODAY()-F208))</f>
        <v/>
      </c>
      <c r="H208">
        <f>IF(A208="","",IF(E208&lt;=0,"Out of stock",IF(E208&lt;=5,"Low stock",IF(AND(G208&lt;&gt;"",G208&gt;=30),"Slow moving","OK"))))</f>
        <v/>
      </c>
    </row>
    <row r="209">
      <c r="A209">
        <f>IF(Products!A209="","",Products!A209)</f>
        <v/>
      </c>
      <c r="B209">
        <f>IF(A209="","",Products!C209)</f>
        <v/>
      </c>
      <c r="C209">
        <f>IF(A209="","",SUMIFS(Lots!F:F,Lots!B:B,A209))</f>
        <v/>
      </c>
      <c r="D209">
        <f>IF(A209="","",SUMIFS(Sales!F:F,Sales!D:D,A209))</f>
        <v/>
      </c>
      <c r="E209">
        <f>IF(A209="","",C209-D209)</f>
        <v/>
      </c>
      <c r="F209" s="3">
        <f>IF(A209="","",IF(D209=0,"",_xlfn.MAXIFS(Sales!C:C,Sales!D:D,A209)))</f>
        <v/>
      </c>
      <c r="G209">
        <f>IF(A209="","",IF(F209="","",TODAY()-F209))</f>
        <v/>
      </c>
      <c r="H209">
        <f>IF(A209="","",IF(E209&lt;=0,"Out of stock",IF(E209&lt;=5,"Low stock",IF(AND(G209&lt;&gt;"",G209&gt;=30),"Slow moving","OK"))))</f>
        <v/>
      </c>
    </row>
    <row r="210">
      <c r="A210">
        <f>IF(Products!A210="","",Products!A210)</f>
        <v/>
      </c>
      <c r="B210">
        <f>IF(A210="","",Products!C210)</f>
        <v/>
      </c>
      <c r="C210">
        <f>IF(A210="","",SUMIFS(Lots!F:F,Lots!B:B,A210))</f>
        <v/>
      </c>
      <c r="D210">
        <f>IF(A210="","",SUMIFS(Sales!F:F,Sales!D:D,A210))</f>
        <v/>
      </c>
      <c r="E210">
        <f>IF(A210="","",C210-D210)</f>
        <v/>
      </c>
      <c r="F210" s="3">
        <f>IF(A210="","",IF(D210=0,"",_xlfn.MAXIFS(Sales!C:C,Sales!D:D,A210)))</f>
        <v/>
      </c>
      <c r="G210">
        <f>IF(A210="","",IF(F210="","",TODAY()-F210))</f>
        <v/>
      </c>
      <c r="H210">
        <f>IF(A210="","",IF(E210&lt;=0,"Out of stock",IF(E210&lt;=5,"Low stock",IF(AND(G210&lt;&gt;"",G210&gt;=30),"Slow moving","OK"))))</f>
        <v/>
      </c>
    </row>
    <row r="211">
      <c r="A211">
        <f>IF(Products!A211="","",Products!A211)</f>
        <v/>
      </c>
      <c r="B211">
        <f>IF(A211="","",Products!C211)</f>
        <v/>
      </c>
      <c r="C211">
        <f>IF(A211="","",SUMIFS(Lots!F:F,Lots!B:B,A211))</f>
        <v/>
      </c>
      <c r="D211">
        <f>IF(A211="","",SUMIFS(Sales!F:F,Sales!D:D,A211))</f>
        <v/>
      </c>
      <c r="E211">
        <f>IF(A211="","",C211-D211)</f>
        <v/>
      </c>
      <c r="F211" s="3">
        <f>IF(A211="","",IF(D211=0,"",_xlfn.MAXIFS(Sales!C:C,Sales!D:D,A211)))</f>
        <v/>
      </c>
      <c r="G211">
        <f>IF(A211="","",IF(F211="","",TODAY()-F211))</f>
        <v/>
      </c>
      <c r="H211">
        <f>IF(A211="","",IF(E211&lt;=0,"Out of stock",IF(E211&lt;=5,"Low stock",IF(AND(G211&lt;&gt;"",G211&gt;=30),"Slow moving","OK"))))</f>
        <v/>
      </c>
    </row>
    <row r="212">
      <c r="A212">
        <f>IF(Products!A212="","",Products!A212)</f>
        <v/>
      </c>
      <c r="B212">
        <f>IF(A212="","",Products!C212)</f>
        <v/>
      </c>
      <c r="C212">
        <f>IF(A212="","",SUMIFS(Lots!F:F,Lots!B:B,A212))</f>
        <v/>
      </c>
      <c r="D212">
        <f>IF(A212="","",SUMIFS(Sales!F:F,Sales!D:D,A212))</f>
        <v/>
      </c>
      <c r="E212">
        <f>IF(A212="","",C212-D212)</f>
        <v/>
      </c>
      <c r="F212" s="3">
        <f>IF(A212="","",IF(D212=0,"",_xlfn.MAXIFS(Sales!C:C,Sales!D:D,A212)))</f>
        <v/>
      </c>
      <c r="G212">
        <f>IF(A212="","",IF(F212="","",TODAY()-F212))</f>
        <v/>
      </c>
      <c r="H212">
        <f>IF(A212="","",IF(E212&lt;=0,"Out of stock",IF(E212&lt;=5,"Low stock",IF(AND(G212&lt;&gt;"",G212&gt;=30),"Slow moving","OK"))))</f>
        <v/>
      </c>
    </row>
    <row r="213">
      <c r="A213">
        <f>IF(Products!A213="","",Products!A213)</f>
        <v/>
      </c>
      <c r="B213">
        <f>IF(A213="","",Products!C213)</f>
        <v/>
      </c>
      <c r="C213">
        <f>IF(A213="","",SUMIFS(Lots!F:F,Lots!B:B,A213))</f>
        <v/>
      </c>
      <c r="D213">
        <f>IF(A213="","",SUMIFS(Sales!F:F,Sales!D:D,A213))</f>
        <v/>
      </c>
      <c r="E213">
        <f>IF(A213="","",C213-D213)</f>
        <v/>
      </c>
      <c r="F213" s="3">
        <f>IF(A213="","",IF(D213=0,"",_xlfn.MAXIFS(Sales!C:C,Sales!D:D,A213)))</f>
        <v/>
      </c>
      <c r="G213">
        <f>IF(A213="","",IF(F213="","",TODAY()-F213))</f>
        <v/>
      </c>
      <c r="H213">
        <f>IF(A213="","",IF(E213&lt;=0,"Out of stock",IF(E213&lt;=5,"Low stock",IF(AND(G213&lt;&gt;"",G213&gt;=30),"Slow moving","OK"))))</f>
        <v/>
      </c>
    </row>
    <row r="214">
      <c r="A214">
        <f>IF(Products!A214="","",Products!A214)</f>
        <v/>
      </c>
      <c r="B214">
        <f>IF(A214="","",Products!C214)</f>
        <v/>
      </c>
      <c r="C214">
        <f>IF(A214="","",SUMIFS(Lots!F:F,Lots!B:B,A214))</f>
        <v/>
      </c>
      <c r="D214">
        <f>IF(A214="","",SUMIFS(Sales!F:F,Sales!D:D,A214))</f>
        <v/>
      </c>
      <c r="E214">
        <f>IF(A214="","",C214-D214)</f>
        <v/>
      </c>
      <c r="F214" s="3">
        <f>IF(A214="","",IF(D214=0,"",_xlfn.MAXIFS(Sales!C:C,Sales!D:D,A214)))</f>
        <v/>
      </c>
      <c r="G214">
        <f>IF(A214="","",IF(F214="","",TODAY()-F214))</f>
        <v/>
      </c>
      <c r="H214">
        <f>IF(A214="","",IF(E214&lt;=0,"Out of stock",IF(E214&lt;=5,"Low stock",IF(AND(G214&lt;&gt;"",G214&gt;=30),"Slow moving","OK"))))</f>
        <v/>
      </c>
    </row>
    <row r="215">
      <c r="A215">
        <f>IF(Products!A215="","",Products!A215)</f>
        <v/>
      </c>
      <c r="B215">
        <f>IF(A215="","",Products!C215)</f>
        <v/>
      </c>
      <c r="C215">
        <f>IF(A215="","",SUMIFS(Lots!F:F,Lots!B:B,A215))</f>
        <v/>
      </c>
      <c r="D215">
        <f>IF(A215="","",SUMIFS(Sales!F:F,Sales!D:D,A215))</f>
        <v/>
      </c>
      <c r="E215">
        <f>IF(A215="","",C215-D215)</f>
        <v/>
      </c>
      <c r="F215" s="3">
        <f>IF(A215="","",IF(D215=0,"",_xlfn.MAXIFS(Sales!C:C,Sales!D:D,A215)))</f>
        <v/>
      </c>
      <c r="G215">
        <f>IF(A215="","",IF(F215="","",TODAY()-F215))</f>
        <v/>
      </c>
      <c r="H215">
        <f>IF(A215="","",IF(E215&lt;=0,"Out of stock",IF(E215&lt;=5,"Low stock",IF(AND(G215&lt;&gt;"",G215&gt;=30),"Slow moving","OK"))))</f>
        <v/>
      </c>
    </row>
    <row r="216">
      <c r="A216">
        <f>IF(Products!A216="","",Products!A216)</f>
        <v/>
      </c>
      <c r="B216">
        <f>IF(A216="","",Products!C216)</f>
        <v/>
      </c>
      <c r="C216">
        <f>IF(A216="","",SUMIFS(Lots!F:F,Lots!B:B,A216))</f>
        <v/>
      </c>
      <c r="D216">
        <f>IF(A216="","",SUMIFS(Sales!F:F,Sales!D:D,A216))</f>
        <v/>
      </c>
      <c r="E216">
        <f>IF(A216="","",C216-D216)</f>
        <v/>
      </c>
      <c r="F216" s="3">
        <f>IF(A216="","",IF(D216=0,"",_xlfn.MAXIFS(Sales!C:C,Sales!D:D,A216)))</f>
        <v/>
      </c>
      <c r="G216">
        <f>IF(A216="","",IF(F216="","",TODAY()-F216))</f>
        <v/>
      </c>
      <c r="H216">
        <f>IF(A216="","",IF(E216&lt;=0,"Out of stock",IF(E216&lt;=5,"Low stock",IF(AND(G216&lt;&gt;"",G216&gt;=30),"Slow moving","OK"))))</f>
        <v/>
      </c>
    </row>
    <row r="217">
      <c r="A217">
        <f>IF(Products!A217="","",Products!A217)</f>
        <v/>
      </c>
      <c r="B217">
        <f>IF(A217="","",Products!C217)</f>
        <v/>
      </c>
      <c r="C217">
        <f>IF(A217="","",SUMIFS(Lots!F:F,Lots!B:B,A217))</f>
        <v/>
      </c>
      <c r="D217">
        <f>IF(A217="","",SUMIFS(Sales!F:F,Sales!D:D,A217))</f>
        <v/>
      </c>
      <c r="E217">
        <f>IF(A217="","",C217-D217)</f>
        <v/>
      </c>
      <c r="F217" s="3">
        <f>IF(A217="","",IF(D217=0,"",_xlfn.MAXIFS(Sales!C:C,Sales!D:D,A217)))</f>
        <v/>
      </c>
      <c r="G217">
        <f>IF(A217="","",IF(F217="","",TODAY()-F217))</f>
        <v/>
      </c>
      <c r="H217">
        <f>IF(A217="","",IF(E217&lt;=0,"Out of stock",IF(E217&lt;=5,"Low stock",IF(AND(G217&lt;&gt;"",G217&gt;=30),"Slow moving","OK"))))</f>
        <v/>
      </c>
    </row>
    <row r="218">
      <c r="A218">
        <f>IF(Products!A218="","",Products!A218)</f>
        <v/>
      </c>
      <c r="B218">
        <f>IF(A218="","",Products!C218)</f>
        <v/>
      </c>
      <c r="C218">
        <f>IF(A218="","",SUMIFS(Lots!F:F,Lots!B:B,A218))</f>
        <v/>
      </c>
      <c r="D218">
        <f>IF(A218="","",SUMIFS(Sales!F:F,Sales!D:D,A218))</f>
        <v/>
      </c>
      <c r="E218">
        <f>IF(A218="","",C218-D218)</f>
        <v/>
      </c>
      <c r="F218" s="3">
        <f>IF(A218="","",IF(D218=0,"",_xlfn.MAXIFS(Sales!C:C,Sales!D:D,A218)))</f>
        <v/>
      </c>
      <c r="G218">
        <f>IF(A218="","",IF(F218="","",TODAY()-F218))</f>
        <v/>
      </c>
      <c r="H218">
        <f>IF(A218="","",IF(E218&lt;=0,"Out of stock",IF(E218&lt;=5,"Low stock",IF(AND(G218&lt;&gt;"",G218&gt;=30),"Slow moving","OK"))))</f>
        <v/>
      </c>
    </row>
    <row r="219">
      <c r="A219">
        <f>IF(Products!A219="","",Products!A219)</f>
        <v/>
      </c>
      <c r="B219">
        <f>IF(A219="","",Products!C219)</f>
        <v/>
      </c>
      <c r="C219">
        <f>IF(A219="","",SUMIFS(Lots!F:F,Lots!B:B,A219))</f>
        <v/>
      </c>
      <c r="D219">
        <f>IF(A219="","",SUMIFS(Sales!F:F,Sales!D:D,A219))</f>
        <v/>
      </c>
      <c r="E219">
        <f>IF(A219="","",C219-D219)</f>
        <v/>
      </c>
      <c r="F219" s="3">
        <f>IF(A219="","",IF(D219=0,"",_xlfn.MAXIFS(Sales!C:C,Sales!D:D,A219)))</f>
        <v/>
      </c>
      <c r="G219">
        <f>IF(A219="","",IF(F219="","",TODAY()-F219))</f>
        <v/>
      </c>
      <c r="H219">
        <f>IF(A219="","",IF(E219&lt;=0,"Out of stock",IF(E219&lt;=5,"Low stock",IF(AND(G219&lt;&gt;"",G219&gt;=30),"Slow moving","OK"))))</f>
        <v/>
      </c>
    </row>
    <row r="220">
      <c r="A220">
        <f>IF(Products!A220="","",Products!A220)</f>
        <v/>
      </c>
      <c r="B220">
        <f>IF(A220="","",Products!C220)</f>
        <v/>
      </c>
      <c r="C220">
        <f>IF(A220="","",SUMIFS(Lots!F:F,Lots!B:B,A220))</f>
        <v/>
      </c>
      <c r="D220">
        <f>IF(A220="","",SUMIFS(Sales!F:F,Sales!D:D,A220))</f>
        <v/>
      </c>
      <c r="E220">
        <f>IF(A220="","",C220-D220)</f>
        <v/>
      </c>
      <c r="F220" s="3">
        <f>IF(A220="","",IF(D220=0,"",_xlfn.MAXIFS(Sales!C:C,Sales!D:D,A220)))</f>
        <v/>
      </c>
      <c r="G220">
        <f>IF(A220="","",IF(F220="","",TODAY()-F220))</f>
        <v/>
      </c>
      <c r="H220">
        <f>IF(A220="","",IF(E220&lt;=0,"Out of stock",IF(E220&lt;=5,"Low stock",IF(AND(G220&lt;&gt;"",G220&gt;=30),"Slow moving","OK"))))</f>
        <v/>
      </c>
    </row>
    <row r="221">
      <c r="A221">
        <f>IF(Products!A221="","",Products!A221)</f>
        <v/>
      </c>
      <c r="B221">
        <f>IF(A221="","",Products!C221)</f>
        <v/>
      </c>
      <c r="C221">
        <f>IF(A221="","",SUMIFS(Lots!F:F,Lots!B:B,A221))</f>
        <v/>
      </c>
      <c r="D221">
        <f>IF(A221="","",SUMIFS(Sales!F:F,Sales!D:D,A221))</f>
        <v/>
      </c>
      <c r="E221">
        <f>IF(A221="","",C221-D221)</f>
        <v/>
      </c>
      <c r="F221" s="3">
        <f>IF(A221="","",IF(D221=0,"",_xlfn.MAXIFS(Sales!C:C,Sales!D:D,A221)))</f>
        <v/>
      </c>
      <c r="G221">
        <f>IF(A221="","",IF(F221="","",TODAY()-F221))</f>
        <v/>
      </c>
      <c r="H221">
        <f>IF(A221="","",IF(E221&lt;=0,"Out of stock",IF(E221&lt;=5,"Low stock",IF(AND(G221&lt;&gt;"",G221&gt;=30),"Slow moving","OK"))))</f>
        <v/>
      </c>
    </row>
    <row r="222">
      <c r="A222">
        <f>IF(Products!A222="","",Products!A222)</f>
        <v/>
      </c>
      <c r="B222">
        <f>IF(A222="","",Products!C222)</f>
        <v/>
      </c>
      <c r="C222">
        <f>IF(A222="","",SUMIFS(Lots!F:F,Lots!B:B,A222))</f>
        <v/>
      </c>
      <c r="D222">
        <f>IF(A222="","",SUMIFS(Sales!F:F,Sales!D:D,A222))</f>
        <v/>
      </c>
      <c r="E222">
        <f>IF(A222="","",C222-D222)</f>
        <v/>
      </c>
      <c r="F222" s="3">
        <f>IF(A222="","",IF(D222=0,"",_xlfn.MAXIFS(Sales!C:C,Sales!D:D,A222)))</f>
        <v/>
      </c>
      <c r="G222">
        <f>IF(A222="","",IF(F222="","",TODAY()-F222))</f>
        <v/>
      </c>
      <c r="H222">
        <f>IF(A222="","",IF(E222&lt;=0,"Out of stock",IF(E222&lt;=5,"Low stock",IF(AND(G222&lt;&gt;"",G222&gt;=30),"Slow moving","OK"))))</f>
        <v/>
      </c>
    </row>
    <row r="223">
      <c r="A223">
        <f>IF(Products!A223="","",Products!A223)</f>
        <v/>
      </c>
      <c r="B223">
        <f>IF(A223="","",Products!C223)</f>
        <v/>
      </c>
      <c r="C223">
        <f>IF(A223="","",SUMIFS(Lots!F:F,Lots!B:B,A223))</f>
        <v/>
      </c>
      <c r="D223">
        <f>IF(A223="","",SUMIFS(Sales!F:F,Sales!D:D,A223))</f>
        <v/>
      </c>
      <c r="E223">
        <f>IF(A223="","",C223-D223)</f>
        <v/>
      </c>
      <c r="F223" s="3">
        <f>IF(A223="","",IF(D223=0,"",_xlfn.MAXIFS(Sales!C:C,Sales!D:D,A223)))</f>
        <v/>
      </c>
      <c r="G223">
        <f>IF(A223="","",IF(F223="","",TODAY()-F223))</f>
        <v/>
      </c>
      <c r="H223">
        <f>IF(A223="","",IF(E223&lt;=0,"Out of stock",IF(E223&lt;=5,"Low stock",IF(AND(G223&lt;&gt;"",G223&gt;=30),"Slow moving","OK"))))</f>
        <v/>
      </c>
    </row>
    <row r="224">
      <c r="A224">
        <f>IF(Products!A224="","",Products!A224)</f>
        <v/>
      </c>
      <c r="B224">
        <f>IF(A224="","",Products!C224)</f>
        <v/>
      </c>
      <c r="C224">
        <f>IF(A224="","",SUMIFS(Lots!F:F,Lots!B:B,A224))</f>
        <v/>
      </c>
      <c r="D224">
        <f>IF(A224="","",SUMIFS(Sales!F:F,Sales!D:D,A224))</f>
        <v/>
      </c>
      <c r="E224">
        <f>IF(A224="","",C224-D224)</f>
        <v/>
      </c>
      <c r="F224" s="3">
        <f>IF(A224="","",IF(D224=0,"",_xlfn.MAXIFS(Sales!C:C,Sales!D:D,A224)))</f>
        <v/>
      </c>
      <c r="G224">
        <f>IF(A224="","",IF(F224="","",TODAY()-F224))</f>
        <v/>
      </c>
      <c r="H224">
        <f>IF(A224="","",IF(E224&lt;=0,"Out of stock",IF(E224&lt;=5,"Low stock",IF(AND(G224&lt;&gt;"",G224&gt;=30),"Slow moving","OK"))))</f>
        <v/>
      </c>
    </row>
    <row r="225">
      <c r="A225">
        <f>IF(Products!A225="","",Products!A225)</f>
        <v/>
      </c>
      <c r="B225">
        <f>IF(A225="","",Products!C225)</f>
        <v/>
      </c>
      <c r="C225">
        <f>IF(A225="","",SUMIFS(Lots!F:F,Lots!B:B,A225))</f>
        <v/>
      </c>
      <c r="D225">
        <f>IF(A225="","",SUMIFS(Sales!F:F,Sales!D:D,A225))</f>
        <v/>
      </c>
      <c r="E225">
        <f>IF(A225="","",C225-D225)</f>
        <v/>
      </c>
      <c r="F225" s="3">
        <f>IF(A225="","",IF(D225=0,"",_xlfn.MAXIFS(Sales!C:C,Sales!D:D,A225)))</f>
        <v/>
      </c>
      <c r="G225">
        <f>IF(A225="","",IF(F225="","",TODAY()-F225))</f>
        <v/>
      </c>
      <c r="H225">
        <f>IF(A225="","",IF(E225&lt;=0,"Out of stock",IF(E225&lt;=5,"Low stock",IF(AND(G225&lt;&gt;"",G225&gt;=30),"Slow moving","OK"))))</f>
        <v/>
      </c>
    </row>
    <row r="226">
      <c r="A226">
        <f>IF(Products!A226="","",Products!A226)</f>
        <v/>
      </c>
      <c r="B226">
        <f>IF(A226="","",Products!C226)</f>
        <v/>
      </c>
      <c r="C226">
        <f>IF(A226="","",SUMIFS(Lots!F:F,Lots!B:B,A226))</f>
        <v/>
      </c>
      <c r="D226">
        <f>IF(A226="","",SUMIFS(Sales!F:F,Sales!D:D,A226))</f>
        <v/>
      </c>
      <c r="E226">
        <f>IF(A226="","",C226-D226)</f>
        <v/>
      </c>
      <c r="F226" s="3">
        <f>IF(A226="","",IF(D226=0,"",_xlfn.MAXIFS(Sales!C:C,Sales!D:D,A226)))</f>
        <v/>
      </c>
      <c r="G226">
        <f>IF(A226="","",IF(F226="","",TODAY()-F226))</f>
        <v/>
      </c>
      <c r="H226">
        <f>IF(A226="","",IF(E226&lt;=0,"Out of stock",IF(E226&lt;=5,"Low stock",IF(AND(G226&lt;&gt;"",G226&gt;=30),"Slow moving","OK"))))</f>
        <v/>
      </c>
    </row>
    <row r="227">
      <c r="A227">
        <f>IF(Products!A227="","",Products!A227)</f>
        <v/>
      </c>
      <c r="B227">
        <f>IF(A227="","",Products!C227)</f>
        <v/>
      </c>
      <c r="C227">
        <f>IF(A227="","",SUMIFS(Lots!F:F,Lots!B:B,A227))</f>
        <v/>
      </c>
      <c r="D227">
        <f>IF(A227="","",SUMIFS(Sales!F:F,Sales!D:D,A227))</f>
        <v/>
      </c>
      <c r="E227">
        <f>IF(A227="","",C227-D227)</f>
        <v/>
      </c>
      <c r="F227" s="3">
        <f>IF(A227="","",IF(D227=0,"",_xlfn.MAXIFS(Sales!C:C,Sales!D:D,A227)))</f>
        <v/>
      </c>
      <c r="G227">
        <f>IF(A227="","",IF(F227="","",TODAY()-F227))</f>
        <v/>
      </c>
      <c r="H227">
        <f>IF(A227="","",IF(E227&lt;=0,"Out of stock",IF(E227&lt;=5,"Low stock",IF(AND(G227&lt;&gt;"",G227&gt;=30),"Slow moving","OK"))))</f>
        <v/>
      </c>
    </row>
    <row r="228">
      <c r="A228">
        <f>IF(Products!A228="","",Products!A228)</f>
        <v/>
      </c>
      <c r="B228">
        <f>IF(A228="","",Products!C228)</f>
        <v/>
      </c>
      <c r="C228">
        <f>IF(A228="","",SUMIFS(Lots!F:F,Lots!B:B,A228))</f>
        <v/>
      </c>
      <c r="D228">
        <f>IF(A228="","",SUMIFS(Sales!F:F,Sales!D:D,A228))</f>
        <v/>
      </c>
      <c r="E228">
        <f>IF(A228="","",C228-D228)</f>
        <v/>
      </c>
      <c r="F228" s="3">
        <f>IF(A228="","",IF(D228=0,"",_xlfn.MAXIFS(Sales!C:C,Sales!D:D,A228)))</f>
        <v/>
      </c>
      <c r="G228">
        <f>IF(A228="","",IF(F228="","",TODAY()-F228))</f>
        <v/>
      </c>
      <c r="H228">
        <f>IF(A228="","",IF(E228&lt;=0,"Out of stock",IF(E228&lt;=5,"Low stock",IF(AND(G228&lt;&gt;"",G228&gt;=30),"Slow moving","OK"))))</f>
        <v/>
      </c>
    </row>
    <row r="229">
      <c r="A229">
        <f>IF(Products!A229="","",Products!A229)</f>
        <v/>
      </c>
      <c r="B229">
        <f>IF(A229="","",Products!C229)</f>
        <v/>
      </c>
      <c r="C229">
        <f>IF(A229="","",SUMIFS(Lots!F:F,Lots!B:B,A229))</f>
        <v/>
      </c>
      <c r="D229">
        <f>IF(A229="","",SUMIFS(Sales!F:F,Sales!D:D,A229))</f>
        <v/>
      </c>
      <c r="E229">
        <f>IF(A229="","",C229-D229)</f>
        <v/>
      </c>
      <c r="F229" s="3">
        <f>IF(A229="","",IF(D229=0,"",_xlfn.MAXIFS(Sales!C:C,Sales!D:D,A229)))</f>
        <v/>
      </c>
      <c r="G229">
        <f>IF(A229="","",IF(F229="","",TODAY()-F229))</f>
        <v/>
      </c>
      <c r="H229">
        <f>IF(A229="","",IF(E229&lt;=0,"Out of stock",IF(E229&lt;=5,"Low stock",IF(AND(G229&lt;&gt;"",G229&gt;=30),"Slow moving","OK"))))</f>
        <v/>
      </c>
    </row>
    <row r="230">
      <c r="A230">
        <f>IF(Products!A230="","",Products!A230)</f>
        <v/>
      </c>
      <c r="B230">
        <f>IF(A230="","",Products!C230)</f>
        <v/>
      </c>
      <c r="C230">
        <f>IF(A230="","",SUMIFS(Lots!F:F,Lots!B:B,A230))</f>
        <v/>
      </c>
      <c r="D230">
        <f>IF(A230="","",SUMIFS(Sales!F:F,Sales!D:D,A230))</f>
        <v/>
      </c>
      <c r="E230">
        <f>IF(A230="","",C230-D230)</f>
        <v/>
      </c>
      <c r="F230" s="3">
        <f>IF(A230="","",IF(D230=0,"",_xlfn.MAXIFS(Sales!C:C,Sales!D:D,A230)))</f>
        <v/>
      </c>
      <c r="G230">
        <f>IF(A230="","",IF(F230="","",TODAY()-F230))</f>
        <v/>
      </c>
      <c r="H230">
        <f>IF(A230="","",IF(E230&lt;=0,"Out of stock",IF(E230&lt;=5,"Low stock",IF(AND(G230&lt;&gt;"",G230&gt;=30),"Slow moving","OK"))))</f>
        <v/>
      </c>
    </row>
    <row r="231">
      <c r="A231">
        <f>IF(Products!A231="","",Products!A231)</f>
        <v/>
      </c>
      <c r="B231">
        <f>IF(A231="","",Products!C231)</f>
        <v/>
      </c>
      <c r="C231">
        <f>IF(A231="","",SUMIFS(Lots!F:F,Lots!B:B,A231))</f>
        <v/>
      </c>
      <c r="D231">
        <f>IF(A231="","",SUMIFS(Sales!F:F,Sales!D:D,A231))</f>
        <v/>
      </c>
      <c r="E231">
        <f>IF(A231="","",C231-D231)</f>
        <v/>
      </c>
      <c r="F231" s="3">
        <f>IF(A231="","",IF(D231=0,"",_xlfn.MAXIFS(Sales!C:C,Sales!D:D,A231)))</f>
        <v/>
      </c>
      <c r="G231">
        <f>IF(A231="","",IF(F231="","",TODAY()-F231))</f>
        <v/>
      </c>
      <c r="H231">
        <f>IF(A231="","",IF(E231&lt;=0,"Out of stock",IF(E231&lt;=5,"Low stock",IF(AND(G231&lt;&gt;"",G231&gt;=30),"Slow moving","OK"))))</f>
        <v/>
      </c>
    </row>
    <row r="232">
      <c r="A232">
        <f>IF(Products!A232="","",Products!A232)</f>
        <v/>
      </c>
      <c r="B232">
        <f>IF(A232="","",Products!C232)</f>
        <v/>
      </c>
      <c r="C232">
        <f>IF(A232="","",SUMIFS(Lots!F:F,Lots!B:B,A232))</f>
        <v/>
      </c>
      <c r="D232">
        <f>IF(A232="","",SUMIFS(Sales!F:F,Sales!D:D,A232))</f>
        <v/>
      </c>
      <c r="E232">
        <f>IF(A232="","",C232-D232)</f>
        <v/>
      </c>
      <c r="F232" s="3">
        <f>IF(A232="","",IF(D232=0,"",_xlfn.MAXIFS(Sales!C:C,Sales!D:D,A232)))</f>
        <v/>
      </c>
      <c r="G232">
        <f>IF(A232="","",IF(F232="","",TODAY()-F232))</f>
        <v/>
      </c>
      <c r="H232">
        <f>IF(A232="","",IF(E232&lt;=0,"Out of stock",IF(E232&lt;=5,"Low stock",IF(AND(G232&lt;&gt;"",G232&gt;=30),"Slow moving","OK"))))</f>
        <v/>
      </c>
    </row>
    <row r="233">
      <c r="A233">
        <f>IF(Products!A233="","",Products!A233)</f>
        <v/>
      </c>
      <c r="B233">
        <f>IF(A233="","",Products!C233)</f>
        <v/>
      </c>
      <c r="C233">
        <f>IF(A233="","",SUMIFS(Lots!F:F,Lots!B:B,A233))</f>
        <v/>
      </c>
      <c r="D233">
        <f>IF(A233="","",SUMIFS(Sales!F:F,Sales!D:D,A233))</f>
        <v/>
      </c>
      <c r="E233">
        <f>IF(A233="","",C233-D233)</f>
        <v/>
      </c>
      <c r="F233" s="3">
        <f>IF(A233="","",IF(D233=0,"",_xlfn.MAXIFS(Sales!C:C,Sales!D:D,A233)))</f>
        <v/>
      </c>
      <c r="G233">
        <f>IF(A233="","",IF(F233="","",TODAY()-F233))</f>
        <v/>
      </c>
      <c r="H233">
        <f>IF(A233="","",IF(E233&lt;=0,"Out of stock",IF(E233&lt;=5,"Low stock",IF(AND(G233&lt;&gt;"",G233&gt;=30),"Slow moving","OK"))))</f>
        <v/>
      </c>
    </row>
    <row r="234">
      <c r="A234">
        <f>IF(Products!A234="","",Products!A234)</f>
        <v/>
      </c>
      <c r="B234">
        <f>IF(A234="","",Products!C234)</f>
        <v/>
      </c>
      <c r="C234">
        <f>IF(A234="","",SUMIFS(Lots!F:F,Lots!B:B,A234))</f>
        <v/>
      </c>
      <c r="D234">
        <f>IF(A234="","",SUMIFS(Sales!F:F,Sales!D:D,A234))</f>
        <v/>
      </c>
      <c r="E234">
        <f>IF(A234="","",C234-D234)</f>
        <v/>
      </c>
      <c r="F234" s="3">
        <f>IF(A234="","",IF(D234=0,"",_xlfn.MAXIFS(Sales!C:C,Sales!D:D,A234)))</f>
        <v/>
      </c>
      <c r="G234">
        <f>IF(A234="","",IF(F234="","",TODAY()-F234))</f>
        <v/>
      </c>
      <c r="H234">
        <f>IF(A234="","",IF(E234&lt;=0,"Out of stock",IF(E234&lt;=5,"Low stock",IF(AND(G234&lt;&gt;"",G234&gt;=30),"Slow moving","OK"))))</f>
        <v/>
      </c>
    </row>
    <row r="235">
      <c r="A235">
        <f>IF(Products!A235="","",Products!A235)</f>
        <v/>
      </c>
      <c r="B235">
        <f>IF(A235="","",Products!C235)</f>
        <v/>
      </c>
      <c r="C235">
        <f>IF(A235="","",SUMIFS(Lots!F:F,Lots!B:B,A235))</f>
        <v/>
      </c>
      <c r="D235">
        <f>IF(A235="","",SUMIFS(Sales!F:F,Sales!D:D,A235))</f>
        <v/>
      </c>
      <c r="E235">
        <f>IF(A235="","",C235-D235)</f>
        <v/>
      </c>
      <c r="F235" s="3">
        <f>IF(A235="","",IF(D235=0,"",_xlfn.MAXIFS(Sales!C:C,Sales!D:D,A235)))</f>
        <v/>
      </c>
      <c r="G235">
        <f>IF(A235="","",IF(F235="","",TODAY()-F235))</f>
        <v/>
      </c>
      <c r="H235">
        <f>IF(A235="","",IF(E235&lt;=0,"Out of stock",IF(E235&lt;=5,"Low stock",IF(AND(G235&lt;&gt;"",G235&gt;=30),"Slow moving","OK"))))</f>
        <v/>
      </c>
    </row>
    <row r="236">
      <c r="A236">
        <f>IF(Products!A236="","",Products!A236)</f>
        <v/>
      </c>
      <c r="B236">
        <f>IF(A236="","",Products!C236)</f>
        <v/>
      </c>
      <c r="C236">
        <f>IF(A236="","",SUMIFS(Lots!F:F,Lots!B:B,A236))</f>
        <v/>
      </c>
      <c r="D236">
        <f>IF(A236="","",SUMIFS(Sales!F:F,Sales!D:D,A236))</f>
        <v/>
      </c>
      <c r="E236">
        <f>IF(A236="","",C236-D236)</f>
        <v/>
      </c>
      <c r="F236" s="3">
        <f>IF(A236="","",IF(D236=0,"",_xlfn.MAXIFS(Sales!C:C,Sales!D:D,A236)))</f>
        <v/>
      </c>
      <c r="G236">
        <f>IF(A236="","",IF(F236="","",TODAY()-F236))</f>
        <v/>
      </c>
      <c r="H236">
        <f>IF(A236="","",IF(E236&lt;=0,"Out of stock",IF(E236&lt;=5,"Low stock",IF(AND(G236&lt;&gt;"",G236&gt;=30),"Slow moving","OK"))))</f>
        <v/>
      </c>
    </row>
    <row r="237">
      <c r="A237">
        <f>IF(Products!A237="","",Products!A237)</f>
        <v/>
      </c>
      <c r="B237">
        <f>IF(A237="","",Products!C237)</f>
        <v/>
      </c>
      <c r="C237">
        <f>IF(A237="","",SUMIFS(Lots!F:F,Lots!B:B,A237))</f>
        <v/>
      </c>
      <c r="D237">
        <f>IF(A237="","",SUMIFS(Sales!F:F,Sales!D:D,A237))</f>
        <v/>
      </c>
      <c r="E237">
        <f>IF(A237="","",C237-D237)</f>
        <v/>
      </c>
      <c r="F237" s="3">
        <f>IF(A237="","",IF(D237=0,"",_xlfn.MAXIFS(Sales!C:C,Sales!D:D,A237)))</f>
        <v/>
      </c>
      <c r="G237">
        <f>IF(A237="","",IF(F237="","",TODAY()-F237))</f>
        <v/>
      </c>
      <c r="H237">
        <f>IF(A237="","",IF(E237&lt;=0,"Out of stock",IF(E237&lt;=5,"Low stock",IF(AND(G237&lt;&gt;"",G237&gt;=30),"Slow moving","OK"))))</f>
        <v/>
      </c>
    </row>
    <row r="238">
      <c r="A238">
        <f>IF(Products!A238="","",Products!A238)</f>
        <v/>
      </c>
      <c r="B238">
        <f>IF(A238="","",Products!C238)</f>
        <v/>
      </c>
      <c r="C238">
        <f>IF(A238="","",SUMIFS(Lots!F:F,Lots!B:B,A238))</f>
        <v/>
      </c>
      <c r="D238">
        <f>IF(A238="","",SUMIFS(Sales!F:F,Sales!D:D,A238))</f>
        <v/>
      </c>
      <c r="E238">
        <f>IF(A238="","",C238-D238)</f>
        <v/>
      </c>
      <c r="F238" s="3">
        <f>IF(A238="","",IF(D238=0,"",_xlfn.MAXIFS(Sales!C:C,Sales!D:D,A238)))</f>
        <v/>
      </c>
      <c r="G238">
        <f>IF(A238="","",IF(F238="","",TODAY()-F238))</f>
        <v/>
      </c>
      <c r="H238">
        <f>IF(A238="","",IF(E238&lt;=0,"Out of stock",IF(E238&lt;=5,"Low stock",IF(AND(G238&lt;&gt;"",G238&gt;=30),"Slow moving","OK"))))</f>
        <v/>
      </c>
    </row>
    <row r="239">
      <c r="A239">
        <f>IF(Products!A239="","",Products!A239)</f>
        <v/>
      </c>
      <c r="B239">
        <f>IF(A239="","",Products!C239)</f>
        <v/>
      </c>
      <c r="C239">
        <f>IF(A239="","",SUMIFS(Lots!F:F,Lots!B:B,A239))</f>
        <v/>
      </c>
      <c r="D239">
        <f>IF(A239="","",SUMIFS(Sales!F:F,Sales!D:D,A239))</f>
        <v/>
      </c>
      <c r="E239">
        <f>IF(A239="","",C239-D239)</f>
        <v/>
      </c>
      <c r="F239" s="3">
        <f>IF(A239="","",IF(D239=0,"",_xlfn.MAXIFS(Sales!C:C,Sales!D:D,A239)))</f>
        <v/>
      </c>
      <c r="G239">
        <f>IF(A239="","",IF(F239="","",TODAY()-F239))</f>
        <v/>
      </c>
      <c r="H239">
        <f>IF(A239="","",IF(E239&lt;=0,"Out of stock",IF(E239&lt;=5,"Low stock",IF(AND(G239&lt;&gt;"",G239&gt;=30),"Slow moving","OK"))))</f>
        <v/>
      </c>
    </row>
    <row r="240">
      <c r="A240">
        <f>IF(Products!A240="","",Products!A240)</f>
        <v/>
      </c>
      <c r="B240">
        <f>IF(A240="","",Products!C240)</f>
        <v/>
      </c>
      <c r="C240">
        <f>IF(A240="","",SUMIFS(Lots!F:F,Lots!B:B,A240))</f>
        <v/>
      </c>
      <c r="D240">
        <f>IF(A240="","",SUMIFS(Sales!F:F,Sales!D:D,A240))</f>
        <v/>
      </c>
      <c r="E240">
        <f>IF(A240="","",C240-D240)</f>
        <v/>
      </c>
      <c r="F240" s="3">
        <f>IF(A240="","",IF(D240=0,"",_xlfn.MAXIFS(Sales!C:C,Sales!D:D,A240)))</f>
        <v/>
      </c>
      <c r="G240">
        <f>IF(A240="","",IF(F240="","",TODAY()-F240))</f>
        <v/>
      </c>
      <c r="H240">
        <f>IF(A240="","",IF(E240&lt;=0,"Out of stock",IF(E240&lt;=5,"Low stock",IF(AND(G240&lt;&gt;"",G240&gt;=30),"Slow moving","OK"))))</f>
        <v/>
      </c>
    </row>
    <row r="241">
      <c r="A241">
        <f>IF(Products!A241="","",Products!A241)</f>
        <v/>
      </c>
      <c r="B241">
        <f>IF(A241="","",Products!C241)</f>
        <v/>
      </c>
      <c r="C241">
        <f>IF(A241="","",SUMIFS(Lots!F:F,Lots!B:B,A241))</f>
        <v/>
      </c>
      <c r="D241">
        <f>IF(A241="","",SUMIFS(Sales!F:F,Sales!D:D,A241))</f>
        <v/>
      </c>
      <c r="E241">
        <f>IF(A241="","",C241-D241)</f>
        <v/>
      </c>
      <c r="F241" s="3">
        <f>IF(A241="","",IF(D241=0,"",_xlfn.MAXIFS(Sales!C:C,Sales!D:D,A241)))</f>
        <v/>
      </c>
      <c r="G241">
        <f>IF(A241="","",IF(F241="","",TODAY()-F241))</f>
        <v/>
      </c>
      <c r="H241">
        <f>IF(A241="","",IF(E241&lt;=0,"Out of stock",IF(E241&lt;=5,"Low stock",IF(AND(G241&lt;&gt;"",G241&gt;=30),"Slow moving","OK"))))</f>
        <v/>
      </c>
    </row>
    <row r="242">
      <c r="A242">
        <f>IF(Products!A242="","",Products!A242)</f>
        <v/>
      </c>
      <c r="B242">
        <f>IF(A242="","",Products!C242)</f>
        <v/>
      </c>
      <c r="C242">
        <f>IF(A242="","",SUMIFS(Lots!F:F,Lots!B:B,A242))</f>
        <v/>
      </c>
      <c r="D242">
        <f>IF(A242="","",SUMIFS(Sales!F:F,Sales!D:D,A242))</f>
        <v/>
      </c>
      <c r="E242">
        <f>IF(A242="","",C242-D242)</f>
        <v/>
      </c>
      <c r="F242" s="3">
        <f>IF(A242="","",IF(D242=0,"",_xlfn.MAXIFS(Sales!C:C,Sales!D:D,A242)))</f>
        <v/>
      </c>
      <c r="G242">
        <f>IF(A242="","",IF(F242="","",TODAY()-F242))</f>
        <v/>
      </c>
      <c r="H242">
        <f>IF(A242="","",IF(E242&lt;=0,"Out of stock",IF(E242&lt;=5,"Low stock",IF(AND(G242&lt;&gt;"",G242&gt;=30),"Slow moving","OK"))))</f>
        <v/>
      </c>
    </row>
    <row r="243">
      <c r="A243">
        <f>IF(Products!A243="","",Products!A243)</f>
        <v/>
      </c>
      <c r="B243">
        <f>IF(A243="","",Products!C243)</f>
        <v/>
      </c>
      <c r="C243">
        <f>IF(A243="","",SUMIFS(Lots!F:F,Lots!B:B,A243))</f>
        <v/>
      </c>
      <c r="D243">
        <f>IF(A243="","",SUMIFS(Sales!F:F,Sales!D:D,A243))</f>
        <v/>
      </c>
      <c r="E243">
        <f>IF(A243="","",C243-D243)</f>
        <v/>
      </c>
      <c r="F243" s="3">
        <f>IF(A243="","",IF(D243=0,"",_xlfn.MAXIFS(Sales!C:C,Sales!D:D,A243)))</f>
        <v/>
      </c>
      <c r="G243">
        <f>IF(A243="","",IF(F243="","",TODAY()-F243))</f>
        <v/>
      </c>
      <c r="H243">
        <f>IF(A243="","",IF(E243&lt;=0,"Out of stock",IF(E243&lt;=5,"Low stock",IF(AND(G243&lt;&gt;"",G243&gt;=30),"Slow moving","OK"))))</f>
        <v/>
      </c>
    </row>
    <row r="244">
      <c r="A244">
        <f>IF(Products!A244="","",Products!A244)</f>
        <v/>
      </c>
      <c r="B244">
        <f>IF(A244="","",Products!C244)</f>
        <v/>
      </c>
      <c r="C244">
        <f>IF(A244="","",SUMIFS(Lots!F:F,Lots!B:B,A244))</f>
        <v/>
      </c>
      <c r="D244">
        <f>IF(A244="","",SUMIFS(Sales!F:F,Sales!D:D,A244))</f>
        <v/>
      </c>
      <c r="E244">
        <f>IF(A244="","",C244-D244)</f>
        <v/>
      </c>
      <c r="F244" s="3">
        <f>IF(A244="","",IF(D244=0,"",_xlfn.MAXIFS(Sales!C:C,Sales!D:D,A244)))</f>
        <v/>
      </c>
      <c r="G244">
        <f>IF(A244="","",IF(F244="","",TODAY()-F244))</f>
        <v/>
      </c>
      <c r="H244">
        <f>IF(A244="","",IF(E244&lt;=0,"Out of stock",IF(E244&lt;=5,"Low stock",IF(AND(G244&lt;&gt;"",G244&gt;=30),"Slow moving","OK"))))</f>
        <v/>
      </c>
    </row>
    <row r="245">
      <c r="A245">
        <f>IF(Products!A245="","",Products!A245)</f>
        <v/>
      </c>
      <c r="B245">
        <f>IF(A245="","",Products!C245)</f>
        <v/>
      </c>
      <c r="C245">
        <f>IF(A245="","",SUMIFS(Lots!F:F,Lots!B:B,A245))</f>
        <v/>
      </c>
      <c r="D245">
        <f>IF(A245="","",SUMIFS(Sales!F:F,Sales!D:D,A245))</f>
        <v/>
      </c>
      <c r="E245">
        <f>IF(A245="","",C245-D245)</f>
        <v/>
      </c>
      <c r="F245" s="3">
        <f>IF(A245="","",IF(D245=0,"",_xlfn.MAXIFS(Sales!C:C,Sales!D:D,A245)))</f>
        <v/>
      </c>
      <c r="G245">
        <f>IF(A245="","",IF(F245="","",TODAY()-F245))</f>
        <v/>
      </c>
      <c r="H245">
        <f>IF(A245="","",IF(E245&lt;=0,"Out of stock",IF(E245&lt;=5,"Low stock",IF(AND(G245&lt;&gt;"",G245&gt;=30),"Slow moving","OK"))))</f>
        <v/>
      </c>
    </row>
    <row r="246">
      <c r="A246">
        <f>IF(Products!A246="","",Products!A246)</f>
        <v/>
      </c>
      <c r="B246">
        <f>IF(A246="","",Products!C246)</f>
        <v/>
      </c>
      <c r="C246">
        <f>IF(A246="","",SUMIFS(Lots!F:F,Lots!B:B,A246))</f>
        <v/>
      </c>
      <c r="D246">
        <f>IF(A246="","",SUMIFS(Sales!F:F,Sales!D:D,A246))</f>
        <v/>
      </c>
      <c r="E246">
        <f>IF(A246="","",C246-D246)</f>
        <v/>
      </c>
      <c r="F246" s="3">
        <f>IF(A246="","",IF(D246=0,"",_xlfn.MAXIFS(Sales!C:C,Sales!D:D,A246)))</f>
        <v/>
      </c>
      <c r="G246">
        <f>IF(A246="","",IF(F246="","",TODAY()-F246))</f>
        <v/>
      </c>
      <c r="H246">
        <f>IF(A246="","",IF(E246&lt;=0,"Out of stock",IF(E246&lt;=5,"Low stock",IF(AND(G246&lt;&gt;"",G246&gt;=30),"Slow moving","OK"))))</f>
        <v/>
      </c>
    </row>
    <row r="247">
      <c r="A247">
        <f>IF(Products!A247="","",Products!A247)</f>
        <v/>
      </c>
      <c r="B247">
        <f>IF(A247="","",Products!C247)</f>
        <v/>
      </c>
      <c r="C247">
        <f>IF(A247="","",SUMIFS(Lots!F:F,Lots!B:B,A247))</f>
        <v/>
      </c>
      <c r="D247">
        <f>IF(A247="","",SUMIFS(Sales!F:F,Sales!D:D,A247))</f>
        <v/>
      </c>
      <c r="E247">
        <f>IF(A247="","",C247-D247)</f>
        <v/>
      </c>
      <c r="F247" s="3">
        <f>IF(A247="","",IF(D247=0,"",_xlfn.MAXIFS(Sales!C:C,Sales!D:D,A247)))</f>
        <v/>
      </c>
      <c r="G247">
        <f>IF(A247="","",IF(F247="","",TODAY()-F247))</f>
        <v/>
      </c>
      <c r="H247">
        <f>IF(A247="","",IF(E247&lt;=0,"Out of stock",IF(E247&lt;=5,"Low stock",IF(AND(G247&lt;&gt;"",G247&gt;=30),"Slow moving","OK"))))</f>
        <v/>
      </c>
    </row>
    <row r="248">
      <c r="A248">
        <f>IF(Products!A248="","",Products!A248)</f>
        <v/>
      </c>
      <c r="B248">
        <f>IF(A248="","",Products!C248)</f>
        <v/>
      </c>
      <c r="C248">
        <f>IF(A248="","",SUMIFS(Lots!F:F,Lots!B:B,A248))</f>
        <v/>
      </c>
      <c r="D248">
        <f>IF(A248="","",SUMIFS(Sales!F:F,Sales!D:D,A248))</f>
        <v/>
      </c>
      <c r="E248">
        <f>IF(A248="","",C248-D248)</f>
        <v/>
      </c>
      <c r="F248" s="3">
        <f>IF(A248="","",IF(D248=0,"",_xlfn.MAXIFS(Sales!C:C,Sales!D:D,A248)))</f>
        <v/>
      </c>
      <c r="G248">
        <f>IF(A248="","",IF(F248="","",TODAY()-F248))</f>
        <v/>
      </c>
      <c r="H248">
        <f>IF(A248="","",IF(E248&lt;=0,"Out of stock",IF(E248&lt;=5,"Low stock",IF(AND(G248&lt;&gt;"",G248&gt;=30),"Slow moving","OK"))))</f>
        <v/>
      </c>
    </row>
    <row r="249">
      <c r="A249">
        <f>IF(Products!A249="","",Products!A249)</f>
        <v/>
      </c>
      <c r="B249">
        <f>IF(A249="","",Products!C249)</f>
        <v/>
      </c>
      <c r="C249">
        <f>IF(A249="","",SUMIFS(Lots!F:F,Lots!B:B,A249))</f>
        <v/>
      </c>
      <c r="D249">
        <f>IF(A249="","",SUMIFS(Sales!F:F,Sales!D:D,A249))</f>
        <v/>
      </c>
      <c r="E249">
        <f>IF(A249="","",C249-D249)</f>
        <v/>
      </c>
      <c r="F249" s="3">
        <f>IF(A249="","",IF(D249=0,"",_xlfn.MAXIFS(Sales!C:C,Sales!D:D,A249)))</f>
        <v/>
      </c>
      <c r="G249">
        <f>IF(A249="","",IF(F249="","",TODAY()-F249))</f>
        <v/>
      </c>
      <c r="H249">
        <f>IF(A249="","",IF(E249&lt;=0,"Out of stock",IF(E249&lt;=5,"Low stock",IF(AND(G249&lt;&gt;"",G249&gt;=30),"Slow moving","OK"))))</f>
        <v/>
      </c>
    </row>
    <row r="250">
      <c r="A250">
        <f>IF(Products!A250="","",Products!A250)</f>
        <v/>
      </c>
      <c r="B250">
        <f>IF(A250="","",Products!C250)</f>
        <v/>
      </c>
      <c r="C250">
        <f>IF(A250="","",SUMIFS(Lots!F:F,Lots!B:B,A250))</f>
        <v/>
      </c>
      <c r="D250">
        <f>IF(A250="","",SUMIFS(Sales!F:F,Sales!D:D,A250))</f>
        <v/>
      </c>
      <c r="E250">
        <f>IF(A250="","",C250-D250)</f>
        <v/>
      </c>
      <c r="F250" s="3">
        <f>IF(A250="","",IF(D250=0,"",_xlfn.MAXIFS(Sales!C:C,Sales!D:D,A250)))</f>
        <v/>
      </c>
      <c r="G250">
        <f>IF(A250="","",IF(F250="","",TODAY()-F250))</f>
        <v/>
      </c>
      <c r="H250">
        <f>IF(A250="","",IF(E250&lt;=0,"Out of stock",IF(E250&lt;=5,"Low stock",IF(AND(G250&lt;&gt;"",G250&gt;=30),"Slow moving","OK"))))</f>
        <v/>
      </c>
    </row>
    <row r="251">
      <c r="A251">
        <f>IF(Products!A251="","",Products!A251)</f>
        <v/>
      </c>
      <c r="B251">
        <f>IF(A251="","",Products!C251)</f>
        <v/>
      </c>
      <c r="C251">
        <f>IF(A251="","",SUMIFS(Lots!F:F,Lots!B:B,A251))</f>
        <v/>
      </c>
      <c r="D251">
        <f>IF(A251="","",SUMIFS(Sales!F:F,Sales!D:D,A251))</f>
        <v/>
      </c>
      <c r="E251">
        <f>IF(A251="","",C251-D251)</f>
        <v/>
      </c>
      <c r="F251" s="3">
        <f>IF(A251="","",IF(D251=0,"",_xlfn.MAXIFS(Sales!C:C,Sales!D:D,A251)))</f>
        <v/>
      </c>
      <c r="G251">
        <f>IF(A251="","",IF(F251="","",TODAY()-F251))</f>
        <v/>
      </c>
      <c r="H251">
        <f>IF(A251="","",IF(E251&lt;=0,"Out of stock",IF(E251&lt;=5,"Low stock",IF(AND(G251&lt;&gt;"",G251&gt;=30),"Slow moving","OK"))))</f>
        <v/>
      </c>
    </row>
    <row r="252">
      <c r="A252">
        <f>IF(Products!A252="","",Products!A252)</f>
        <v/>
      </c>
      <c r="B252">
        <f>IF(A252="","",Products!C252)</f>
        <v/>
      </c>
      <c r="C252">
        <f>IF(A252="","",SUMIFS(Lots!F:F,Lots!B:B,A252))</f>
        <v/>
      </c>
      <c r="D252">
        <f>IF(A252="","",SUMIFS(Sales!F:F,Sales!D:D,A252))</f>
        <v/>
      </c>
      <c r="E252">
        <f>IF(A252="","",C252-D252)</f>
        <v/>
      </c>
      <c r="F252" s="3">
        <f>IF(A252="","",IF(D252=0,"",_xlfn.MAXIFS(Sales!C:C,Sales!D:D,A252)))</f>
        <v/>
      </c>
      <c r="G252">
        <f>IF(A252="","",IF(F252="","",TODAY()-F252))</f>
        <v/>
      </c>
      <c r="H252">
        <f>IF(A252="","",IF(E252&lt;=0,"Out of stock",IF(E252&lt;=5,"Low stock",IF(AND(G252&lt;&gt;"",G252&gt;=30),"Slow moving","OK"))))</f>
        <v/>
      </c>
    </row>
    <row r="253">
      <c r="A253">
        <f>IF(Products!A253="","",Products!A253)</f>
        <v/>
      </c>
      <c r="B253">
        <f>IF(A253="","",Products!C253)</f>
        <v/>
      </c>
      <c r="C253">
        <f>IF(A253="","",SUMIFS(Lots!F:F,Lots!B:B,A253))</f>
        <v/>
      </c>
      <c r="D253">
        <f>IF(A253="","",SUMIFS(Sales!F:F,Sales!D:D,A253))</f>
        <v/>
      </c>
      <c r="E253">
        <f>IF(A253="","",C253-D253)</f>
        <v/>
      </c>
      <c r="F253" s="3">
        <f>IF(A253="","",IF(D253=0,"",_xlfn.MAXIFS(Sales!C:C,Sales!D:D,A253)))</f>
        <v/>
      </c>
      <c r="G253">
        <f>IF(A253="","",IF(F253="","",TODAY()-F253))</f>
        <v/>
      </c>
      <c r="H253">
        <f>IF(A253="","",IF(E253&lt;=0,"Out of stock",IF(E253&lt;=5,"Low stock",IF(AND(G253&lt;&gt;"",G253&gt;=30),"Slow moving","OK"))))</f>
        <v/>
      </c>
    </row>
    <row r="254">
      <c r="A254">
        <f>IF(Products!A254="","",Products!A254)</f>
        <v/>
      </c>
      <c r="B254">
        <f>IF(A254="","",Products!C254)</f>
        <v/>
      </c>
      <c r="C254">
        <f>IF(A254="","",SUMIFS(Lots!F:F,Lots!B:B,A254))</f>
        <v/>
      </c>
      <c r="D254">
        <f>IF(A254="","",SUMIFS(Sales!F:F,Sales!D:D,A254))</f>
        <v/>
      </c>
      <c r="E254">
        <f>IF(A254="","",C254-D254)</f>
        <v/>
      </c>
      <c r="F254" s="3">
        <f>IF(A254="","",IF(D254=0,"",_xlfn.MAXIFS(Sales!C:C,Sales!D:D,A254)))</f>
        <v/>
      </c>
      <c r="G254">
        <f>IF(A254="","",IF(F254="","",TODAY()-F254))</f>
        <v/>
      </c>
      <c r="H254">
        <f>IF(A254="","",IF(E254&lt;=0,"Out of stock",IF(E254&lt;=5,"Low stock",IF(AND(G254&lt;&gt;"",G254&gt;=30),"Slow moving","OK"))))</f>
        <v/>
      </c>
    </row>
    <row r="255">
      <c r="A255">
        <f>IF(Products!A255="","",Products!A255)</f>
        <v/>
      </c>
      <c r="B255">
        <f>IF(A255="","",Products!C255)</f>
        <v/>
      </c>
      <c r="C255">
        <f>IF(A255="","",SUMIFS(Lots!F:F,Lots!B:B,A255))</f>
        <v/>
      </c>
      <c r="D255">
        <f>IF(A255="","",SUMIFS(Sales!F:F,Sales!D:D,A255))</f>
        <v/>
      </c>
      <c r="E255">
        <f>IF(A255="","",C255-D255)</f>
        <v/>
      </c>
      <c r="F255" s="3">
        <f>IF(A255="","",IF(D255=0,"",_xlfn.MAXIFS(Sales!C:C,Sales!D:D,A255)))</f>
        <v/>
      </c>
      <c r="G255">
        <f>IF(A255="","",IF(F255="","",TODAY()-F255))</f>
        <v/>
      </c>
      <c r="H255">
        <f>IF(A255="","",IF(E255&lt;=0,"Out of stock",IF(E255&lt;=5,"Low stock",IF(AND(G255&lt;&gt;"",G255&gt;=30),"Slow moving","OK"))))</f>
        <v/>
      </c>
    </row>
    <row r="256">
      <c r="A256">
        <f>IF(Products!A256="","",Products!A256)</f>
        <v/>
      </c>
      <c r="B256">
        <f>IF(A256="","",Products!C256)</f>
        <v/>
      </c>
      <c r="C256">
        <f>IF(A256="","",SUMIFS(Lots!F:F,Lots!B:B,A256))</f>
        <v/>
      </c>
      <c r="D256">
        <f>IF(A256="","",SUMIFS(Sales!F:F,Sales!D:D,A256))</f>
        <v/>
      </c>
      <c r="E256">
        <f>IF(A256="","",C256-D256)</f>
        <v/>
      </c>
      <c r="F256" s="3">
        <f>IF(A256="","",IF(D256=0,"",_xlfn.MAXIFS(Sales!C:C,Sales!D:D,A256)))</f>
        <v/>
      </c>
      <c r="G256">
        <f>IF(A256="","",IF(F256="","",TODAY()-F256))</f>
        <v/>
      </c>
      <c r="H256">
        <f>IF(A256="","",IF(E256&lt;=0,"Out of stock",IF(E256&lt;=5,"Low stock",IF(AND(G256&lt;&gt;"",G256&gt;=30),"Slow moving","OK"))))</f>
        <v/>
      </c>
    </row>
    <row r="257">
      <c r="A257">
        <f>IF(Products!A257="","",Products!A257)</f>
        <v/>
      </c>
      <c r="B257">
        <f>IF(A257="","",Products!C257)</f>
        <v/>
      </c>
      <c r="C257">
        <f>IF(A257="","",SUMIFS(Lots!F:F,Lots!B:B,A257))</f>
        <v/>
      </c>
      <c r="D257">
        <f>IF(A257="","",SUMIFS(Sales!F:F,Sales!D:D,A257))</f>
        <v/>
      </c>
      <c r="E257">
        <f>IF(A257="","",C257-D257)</f>
        <v/>
      </c>
      <c r="F257" s="3">
        <f>IF(A257="","",IF(D257=0,"",_xlfn.MAXIFS(Sales!C:C,Sales!D:D,A257)))</f>
        <v/>
      </c>
      <c r="G257">
        <f>IF(A257="","",IF(F257="","",TODAY()-F257))</f>
        <v/>
      </c>
      <c r="H257">
        <f>IF(A257="","",IF(E257&lt;=0,"Out of stock",IF(E257&lt;=5,"Low stock",IF(AND(G257&lt;&gt;"",G257&gt;=30),"Slow moving","OK"))))</f>
        <v/>
      </c>
    </row>
    <row r="258">
      <c r="A258">
        <f>IF(Products!A258="","",Products!A258)</f>
        <v/>
      </c>
      <c r="B258">
        <f>IF(A258="","",Products!C258)</f>
        <v/>
      </c>
      <c r="C258">
        <f>IF(A258="","",SUMIFS(Lots!F:F,Lots!B:B,A258))</f>
        <v/>
      </c>
      <c r="D258">
        <f>IF(A258="","",SUMIFS(Sales!F:F,Sales!D:D,A258))</f>
        <v/>
      </c>
      <c r="E258">
        <f>IF(A258="","",C258-D258)</f>
        <v/>
      </c>
      <c r="F258" s="3">
        <f>IF(A258="","",IF(D258=0,"",_xlfn.MAXIFS(Sales!C:C,Sales!D:D,A258)))</f>
        <v/>
      </c>
      <c r="G258">
        <f>IF(A258="","",IF(F258="","",TODAY()-F258))</f>
        <v/>
      </c>
      <c r="H258">
        <f>IF(A258="","",IF(E258&lt;=0,"Out of stock",IF(E258&lt;=5,"Low stock",IF(AND(G258&lt;&gt;"",G258&gt;=30),"Slow moving","OK"))))</f>
        <v/>
      </c>
    </row>
    <row r="259">
      <c r="A259">
        <f>IF(Products!A259="","",Products!A259)</f>
        <v/>
      </c>
      <c r="B259">
        <f>IF(A259="","",Products!C259)</f>
        <v/>
      </c>
      <c r="C259">
        <f>IF(A259="","",SUMIFS(Lots!F:F,Lots!B:B,A259))</f>
        <v/>
      </c>
      <c r="D259">
        <f>IF(A259="","",SUMIFS(Sales!F:F,Sales!D:D,A259))</f>
        <v/>
      </c>
      <c r="E259">
        <f>IF(A259="","",C259-D259)</f>
        <v/>
      </c>
      <c r="F259" s="3">
        <f>IF(A259="","",IF(D259=0,"",_xlfn.MAXIFS(Sales!C:C,Sales!D:D,A259)))</f>
        <v/>
      </c>
      <c r="G259">
        <f>IF(A259="","",IF(F259="","",TODAY()-F259))</f>
        <v/>
      </c>
      <c r="H259">
        <f>IF(A259="","",IF(E259&lt;=0,"Out of stock",IF(E259&lt;=5,"Low stock",IF(AND(G259&lt;&gt;"",G259&gt;=30),"Slow moving","OK"))))</f>
        <v/>
      </c>
    </row>
    <row r="260">
      <c r="A260">
        <f>IF(Products!A260="","",Products!A260)</f>
        <v/>
      </c>
      <c r="B260">
        <f>IF(A260="","",Products!C260)</f>
        <v/>
      </c>
      <c r="C260">
        <f>IF(A260="","",SUMIFS(Lots!F:F,Lots!B:B,A260))</f>
        <v/>
      </c>
      <c r="D260">
        <f>IF(A260="","",SUMIFS(Sales!F:F,Sales!D:D,A260))</f>
        <v/>
      </c>
      <c r="E260">
        <f>IF(A260="","",C260-D260)</f>
        <v/>
      </c>
      <c r="F260" s="3">
        <f>IF(A260="","",IF(D260=0,"",_xlfn.MAXIFS(Sales!C:C,Sales!D:D,A260)))</f>
        <v/>
      </c>
      <c r="G260">
        <f>IF(A260="","",IF(F260="","",TODAY()-F260))</f>
        <v/>
      </c>
      <c r="H260">
        <f>IF(A260="","",IF(E260&lt;=0,"Out of stock",IF(E260&lt;=5,"Low stock",IF(AND(G260&lt;&gt;"",G260&gt;=30),"Slow moving","OK"))))</f>
        <v/>
      </c>
    </row>
    <row r="261">
      <c r="A261">
        <f>IF(Products!A261="","",Products!A261)</f>
        <v/>
      </c>
      <c r="B261">
        <f>IF(A261="","",Products!C261)</f>
        <v/>
      </c>
      <c r="C261">
        <f>IF(A261="","",SUMIFS(Lots!F:F,Lots!B:B,A261))</f>
        <v/>
      </c>
      <c r="D261">
        <f>IF(A261="","",SUMIFS(Sales!F:F,Sales!D:D,A261))</f>
        <v/>
      </c>
      <c r="E261">
        <f>IF(A261="","",C261-D261)</f>
        <v/>
      </c>
      <c r="F261" s="3">
        <f>IF(A261="","",IF(D261=0,"",_xlfn.MAXIFS(Sales!C:C,Sales!D:D,A261)))</f>
        <v/>
      </c>
      <c r="G261">
        <f>IF(A261="","",IF(F261="","",TODAY()-F261))</f>
        <v/>
      </c>
      <c r="H261">
        <f>IF(A261="","",IF(E261&lt;=0,"Out of stock",IF(E261&lt;=5,"Low stock",IF(AND(G261&lt;&gt;"",G261&gt;=30),"Slow moving","OK"))))</f>
        <v/>
      </c>
    </row>
    <row r="262">
      <c r="A262">
        <f>IF(Products!A262="","",Products!A262)</f>
        <v/>
      </c>
      <c r="B262">
        <f>IF(A262="","",Products!C262)</f>
        <v/>
      </c>
      <c r="C262">
        <f>IF(A262="","",SUMIFS(Lots!F:F,Lots!B:B,A262))</f>
        <v/>
      </c>
      <c r="D262">
        <f>IF(A262="","",SUMIFS(Sales!F:F,Sales!D:D,A262))</f>
        <v/>
      </c>
      <c r="E262">
        <f>IF(A262="","",C262-D262)</f>
        <v/>
      </c>
      <c r="F262" s="3">
        <f>IF(A262="","",IF(D262=0,"",_xlfn.MAXIFS(Sales!C:C,Sales!D:D,A262)))</f>
        <v/>
      </c>
      <c r="G262">
        <f>IF(A262="","",IF(F262="","",TODAY()-F262))</f>
        <v/>
      </c>
      <c r="H262">
        <f>IF(A262="","",IF(E262&lt;=0,"Out of stock",IF(E262&lt;=5,"Low stock",IF(AND(G262&lt;&gt;"",G262&gt;=30),"Slow moving","OK"))))</f>
        <v/>
      </c>
    </row>
    <row r="263">
      <c r="A263">
        <f>IF(Products!A263="","",Products!A263)</f>
        <v/>
      </c>
      <c r="B263">
        <f>IF(A263="","",Products!C263)</f>
        <v/>
      </c>
      <c r="C263">
        <f>IF(A263="","",SUMIFS(Lots!F:F,Lots!B:B,A263))</f>
        <v/>
      </c>
      <c r="D263">
        <f>IF(A263="","",SUMIFS(Sales!F:F,Sales!D:D,A263))</f>
        <v/>
      </c>
      <c r="E263">
        <f>IF(A263="","",C263-D263)</f>
        <v/>
      </c>
      <c r="F263" s="3">
        <f>IF(A263="","",IF(D263=0,"",_xlfn.MAXIFS(Sales!C:C,Sales!D:D,A263)))</f>
        <v/>
      </c>
      <c r="G263">
        <f>IF(A263="","",IF(F263="","",TODAY()-F263))</f>
        <v/>
      </c>
      <c r="H263">
        <f>IF(A263="","",IF(E263&lt;=0,"Out of stock",IF(E263&lt;=5,"Low stock",IF(AND(G263&lt;&gt;"",G263&gt;=30),"Slow moving","OK"))))</f>
        <v/>
      </c>
    </row>
    <row r="264">
      <c r="A264">
        <f>IF(Products!A264="","",Products!A264)</f>
        <v/>
      </c>
      <c r="B264">
        <f>IF(A264="","",Products!C264)</f>
        <v/>
      </c>
      <c r="C264">
        <f>IF(A264="","",SUMIFS(Lots!F:F,Lots!B:B,A264))</f>
        <v/>
      </c>
      <c r="D264">
        <f>IF(A264="","",SUMIFS(Sales!F:F,Sales!D:D,A264))</f>
        <v/>
      </c>
      <c r="E264">
        <f>IF(A264="","",C264-D264)</f>
        <v/>
      </c>
      <c r="F264" s="3">
        <f>IF(A264="","",IF(D264=0,"",_xlfn.MAXIFS(Sales!C:C,Sales!D:D,A264)))</f>
        <v/>
      </c>
      <c r="G264">
        <f>IF(A264="","",IF(F264="","",TODAY()-F264))</f>
        <v/>
      </c>
      <c r="H264">
        <f>IF(A264="","",IF(E264&lt;=0,"Out of stock",IF(E264&lt;=5,"Low stock",IF(AND(G264&lt;&gt;"",G264&gt;=30),"Slow moving","OK"))))</f>
        <v/>
      </c>
    </row>
    <row r="265">
      <c r="A265">
        <f>IF(Products!A265="","",Products!A265)</f>
        <v/>
      </c>
      <c r="B265">
        <f>IF(A265="","",Products!C265)</f>
        <v/>
      </c>
      <c r="C265">
        <f>IF(A265="","",SUMIFS(Lots!F:F,Lots!B:B,A265))</f>
        <v/>
      </c>
      <c r="D265">
        <f>IF(A265="","",SUMIFS(Sales!F:F,Sales!D:D,A265))</f>
        <v/>
      </c>
      <c r="E265">
        <f>IF(A265="","",C265-D265)</f>
        <v/>
      </c>
      <c r="F265" s="3">
        <f>IF(A265="","",IF(D265=0,"",_xlfn.MAXIFS(Sales!C:C,Sales!D:D,A265)))</f>
        <v/>
      </c>
      <c r="G265">
        <f>IF(A265="","",IF(F265="","",TODAY()-F265))</f>
        <v/>
      </c>
      <c r="H265">
        <f>IF(A265="","",IF(E265&lt;=0,"Out of stock",IF(E265&lt;=5,"Low stock",IF(AND(G265&lt;&gt;"",G265&gt;=30),"Slow moving","OK"))))</f>
        <v/>
      </c>
    </row>
    <row r="266">
      <c r="A266">
        <f>IF(Products!A266="","",Products!A266)</f>
        <v/>
      </c>
      <c r="B266">
        <f>IF(A266="","",Products!C266)</f>
        <v/>
      </c>
      <c r="C266">
        <f>IF(A266="","",SUMIFS(Lots!F:F,Lots!B:B,A266))</f>
        <v/>
      </c>
      <c r="D266">
        <f>IF(A266="","",SUMIFS(Sales!F:F,Sales!D:D,A266))</f>
        <v/>
      </c>
      <c r="E266">
        <f>IF(A266="","",C266-D266)</f>
        <v/>
      </c>
      <c r="F266" s="3">
        <f>IF(A266="","",IF(D266=0,"",_xlfn.MAXIFS(Sales!C:C,Sales!D:D,A266)))</f>
        <v/>
      </c>
      <c r="G266">
        <f>IF(A266="","",IF(F266="","",TODAY()-F266))</f>
        <v/>
      </c>
      <c r="H266">
        <f>IF(A266="","",IF(E266&lt;=0,"Out of stock",IF(E266&lt;=5,"Low stock",IF(AND(G266&lt;&gt;"",G266&gt;=30),"Slow moving","OK"))))</f>
        <v/>
      </c>
    </row>
    <row r="267">
      <c r="A267">
        <f>IF(Products!A267="","",Products!A267)</f>
        <v/>
      </c>
      <c r="B267">
        <f>IF(A267="","",Products!C267)</f>
        <v/>
      </c>
      <c r="C267">
        <f>IF(A267="","",SUMIFS(Lots!F:F,Lots!B:B,A267))</f>
        <v/>
      </c>
      <c r="D267">
        <f>IF(A267="","",SUMIFS(Sales!F:F,Sales!D:D,A267))</f>
        <v/>
      </c>
      <c r="E267">
        <f>IF(A267="","",C267-D267)</f>
        <v/>
      </c>
      <c r="F267" s="3">
        <f>IF(A267="","",IF(D267=0,"",_xlfn.MAXIFS(Sales!C:C,Sales!D:D,A267)))</f>
        <v/>
      </c>
      <c r="G267">
        <f>IF(A267="","",IF(F267="","",TODAY()-F267))</f>
        <v/>
      </c>
      <c r="H267">
        <f>IF(A267="","",IF(E267&lt;=0,"Out of stock",IF(E267&lt;=5,"Low stock",IF(AND(G267&lt;&gt;"",G267&gt;=30),"Slow moving","OK"))))</f>
        <v/>
      </c>
    </row>
    <row r="268">
      <c r="A268">
        <f>IF(Products!A268="","",Products!A268)</f>
        <v/>
      </c>
      <c r="B268">
        <f>IF(A268="","",Products!C268)</f>
        <v/>
      </c>
      <c r="C268">
        <f>IF(A268="","",SUMIFS(Lots!F:F,Lots!B:B,A268))</f>
        <v/>
      </c>
      <c r="D268">
        <f>IF(A268="","",SUMIFS(Sales!F:F,Sales!D:D,A268))</f>
        <v/>
      </c>
      <c r="E268">
        <f>IF(A268="","",C268-D268)</f>
        <v/>
      </c>
      <c r="F268" s="3">
        <f>IF(A268="","",IF(D268=0,"",_xlfn.MAXIFS(Sales!C:C,Sales!D:D,A268)))</f>
        <v/>
      </c>
      <c r="G268">
        <f>IF(A268="","",IF(F268="","",TODAY()-F268))</f>
        <v/>
      </c>
      <c r="H268">
        <f>IF(A268="","",IF(E268&lt;=0,"Out of stock",IF(E268&lt;=5,"Low stock",IF(AND(G268&lt;&gt;"",G268&gt;=30),"Slow moving","OK"))))</f>
        <v/>
      </c>
    </row>
    <row r="269">
      <c r="A269">
        <f>IF(Products!A269="","",Products!A269)</f>
        <v/>
      </c>
      <c r="B269">
        <f>IF(A269="","",Products!C269)</f>
        <v/>
      </c>
      <c r="C269">
        <f>IF(A269="","",SUMIFS(Lots!F:F,Lots!B:B,A269))</f>
        <v/>
      </c>
      <c r="D269">
        <f>IF(A269="","",SUMIFS(Sales!F:F,Sales!D:D,A269))</f>
        <v/>
      </c>
      <c r="E269">
        <f>IF(A269="","",C269-D269)</f>
        <v/>
      </c>
      <c r="F269" s="3">
        <f>IF(A269="","",IF(D269=0,"",_xlfn.MAXIFS(Sales!C:C,Sales!D:D,A269)))</f>
        <v/>
      </c>
      <c r="G269">
        <f>IF(A269="","",IF(F269="","",TODAY()-F269))</f>
        <v/>
      </c>
      <c r="H269">
        <f>IF(A269="","",IF(E269&lt;=0,"Out of stock",IF(E269&lt;=5,"Low stock",IF(AND(G269&lt;&gt;"",G269&gt;=30),"Slow moving","OK"))))</f>
        <v/>
      </c>
    </row>
    <row r="270">
      <c r="A270">
        <f>IF(Products!A270="","",Products!A270)</f>
        <v/>
      </c>
      <c r="B270">
        <f>IF(A270="","",Products!C270)</f>
        <v/>
      </c>
      <c r="C270">
        <f>IF(A270="","",SUMIFS(Lots!F:F,Lots!B:B,A270))</f>
        <v/>
      </c>
      <c r="D270">
        <f>IF(A270="","",SUMIFS(Sales!F:F,Sales!D:D,A270))</f>
        <v/>
      </c>
      <c r="E270">
        <f>IF(A270="","",C270-D270)</f>
        <v/>
      </c>
      <c r="F270" s="3">
        <f>IF(A270="","",IF(D270=0,"",_xlfn.MAXIFS(Sales!C:C,Sales!D:D,A270)))</f>
        <v/>
      </c>
      <c r="G270">
        <f>IF(A270="","",IF(F270="","",TODAY()-F270))</f>
        <v/>
      </c>
      <c r="H270">
        <f>IF(A270="","",IF(E270&lt;=0,"Out of stock",IF(E270&lt;=5,"Low stock",IF(AND(G270&lt;&gt;"",G270&gt;=30),"Slow moving","OK"))))</f>
        <v/>
      </c>
    </row>
    <row r="271">
      <c r="A271">
        <f>IF(Products!A271="","",Products!A271)</f>
        <v/>
      </c>
      <c r="B271">
        <f>IF(A271="","",Products!C271)</f>
        <v/>
      </c>
      <c r="C271">
        <f>IF(A271="","",SUMIFS(Lots!F:F,Lots!B:B,A271))</f>
        <v/>
      </c>
      <c r="D271">
        <f>IF(A271="","",SUMIFS(Sales!F:F,Sales!D:D,A271))</f>
        <v/>
      </c>
      <c r="E271">
        <f>IF(A271="","",C271-D271)</f>
        <v/>
      </c>
      <c r="F271" s="3">
        <f>IF(A271="","",IF(D271=0,"",_xlfn.MAXIFS(Sales!C:C,Sales!D:D,A271)))</f>
        <v/>
      </c>
      <c r="G271">
        <f>IF(A271="","",IF(F271="","",TODAY()-F271))</f>
        <v/>
      </c>
      <c r="H271">
        <f>IF(A271="","",IF(E271&lt;=0,"Out of stock",IF(E271&lt;=5,"Low stock",IF(AND(G271&lt;&gt;"",G271&gt;=30),"Slow moving","OK"))))</f>
        <v/>
      </c>
    </row>
    <row r="272">
      <c r="A272">
        <f>IF(Products!A272="","",Products!A272)</f>
        <v/>
      </c>
      <c r="B272">
        <f>IF(A272="","",Products!C272)</f>
        <v/>
      </c>
      <c r="C272">
        <f>IF(A272="","",SUMIFS(Lots!F:F,Lots!B:B,A272))</f>
        <v/>
      </c>
      <c r="D272">
        <f>IF(A272="","",SUMIFS(Sales!F:F,Sales!D:D,A272))</f>
        <v/>
      </c>
      <c r="E272">
        <f>IF(A272="","",C272-D272)</f>
        <v/>
      </c>
      <c r="F272" s="3">
        <f>IF(A272="","",IF(D272=0,"",_xlfn.MAXIFS(Sales!C:C,Sales!D:D,A272)))</f>
        <v/>
      </c>
      <c r="G272">
        <f>IF(A272="","",IF(F272="","",TODAY()-F272))</f>
        <v/>
      </c>
      <c r="H272">
        <f>IF(A272="","",IF(E272&lt;=0,"Out of stock",IF(E272&lt;=5,"Low stock",IF(AND(G272&lt;&gt;"",G272&gt;=30),"Slow moving","OK"))))</f>
        <v/>
      </c>
    </row>
    <row r="273">
      <c r="A273">
        <f>IF(Products!A273="","",Products!A273)</f>
        <v/>
      </c>
      <c r="B273">
        <f>IF(A273="","",Products!C273)</f>
        <v/>
      </c>
      <c r="C273">
        <f>IF(A273="","",SUMIFS(Lots!F:F,Lots!B:B,A273))</f>
        <v/>
      </c>
      <c r="D273">
        <f>IF(A273="","",SUMIFS(Sales!F:F,Sales!D:D,A273))</f>
        <v/>
      </c>
      <c r="E273">
        <f>IF(A273="","",C273-D273)</f>
        <v/>
      </c>
      <c r="F273" s="3">
        <f>IF(A273="","",IF(D273=0,"",_xlfn.MAXIFS(Sales!C:C,Sales!D:D,A273)))</f>
        <v/>
      </c>
      <c r="G273">
        <f>IF(A273="","",IF(F273="","",TODAY()-F273))</f>
        <v/>
      </c>
      <c r="H273">
        <f>IF(A273="","",IF(E273&lt;=0,"Out of stock",IF(E273&lt;=5,"Low stock",IF(AND(G273&lt;&gt;"",G273&gt;=30),"Slow moving","OK"))))</f>
        <v/>
      </c>
    </row>
    <row r="274">
      <c r="A274">
        <f>IF(Products!A274="","",Products!A274)</f>
        <v/>
      </c>
      <c r="B274">
        <f>IF(A274="","",Products!C274)</f>
        <v/>
      </c>
      <c r="C274">
        <f>IF(A274="","",SUMIFS(Lots!F:F,Lots!B:B,A274))</f>
        <v/>
      </c>
      <c r="D274">
        <f>IF(A274="","",SUMIFS(Sales!F:F,Sales!D:D,A274))</f>
        <v/>
      </c>
      <c r="E274">
        <f>IF(A274="","",C274-D274)</f>
        <v/>
      </c>
      <c r="F274" s="3">
        <f>IF(A274="","",IF(D274=0,"",_xlfn.MAXIFS(Sales!C:C,Sales!D:D,A274)))</f>
        <v/>
      </c>
      <c r="G274">
        <f>IF(A274="","",IF(F274="","",TODAY()-F274))</f>
        <v/>
      </c>
      <c r="H274">
        <f>IF(A274="","",IF(E274&lt;=0,"Out of stock",IF(E274&lt;=5,"Low stock",IF(AND(G274&lt;&gt;"",G274&gt;=30),"Slow moving","OK"))))</f>
        <v/>
      </c>
    </row>
    <row r="275">
      <c r="A275">
        <f>IF(Products!A275="","",Products!A275)</f>
        <v/>
      </c>
      <c r="B275">
        <f>IF(A275="","",Products!C275)</f>
        <v/>
      </c>
      <c r="C275">
        <f>IF(A275="","",SUMIFS(Lots!F:F,Lots!B:B,A275))</f>
        <v/>
      </c>
      <c r="D275">
        <f>IF(A275="","",SUMIFS(Sales!F:F,Sales!D:D,A275))</f>
        <v/>
      </c>
      <c r="E275">
        <f>IF(A275="","",C275-D275)</f>
        <v/>
      </c>
      <c r="F275" s="3">
        <f>IF(A275="","",IF(D275=0,"",_xlfn.MAXIFS(Sales!C:C,Sales!D:D,A275)))</f>
        <v/>
      </c>
      <c r="G275">
        <f>IF(A275="","",IF(F275="","",TODAY()-F275))</f>
        <v/>
      </c>
      <c r="H275">
        <f>IF(A275="","",IF(E275&lt;=0,"Out of stock",IF(E275&lt;=5,"Low stock",IF(AND(G275&lt;&gt;"",G275&gt;=30),"Slow moving","OK"))))</f>
        <v/>
      </c>
    </row>
    <row r="276">
      <c r="A276">
        <f>IF(Products!A276="","",Products!A276)</f>
        <v/>
      </c>
      <c r="B276">
        <f>IF(A276="","",Products!C276)</f>
        <v/>
      </c>
      <c r="C276">
        <f>IF(A276="","",SUMIFS(Lots!F:F,Lots!B:B,A276))</f>
        <v/>
      </c>
      <c r="D276">
        <f>IF(A276="","",SUMIFS(Sales!F:F,Sales!D:D,A276))</f>
        <v/>
      </c>
      <c r="E276">
        <f>IF(A276="","",C276-D276)</f>
        <v/>
      </c>
      <c r="F276" s="3">
        <f>IF(A276="","",IF(D276=0,"",_xlfn.MAXIFS(Sales!C:C,Sales!D:D,A276)))</f>
        <v/>
      </c>
      <c r="G276">
        <f>IF(A276="","",IF(F276="","",TODAY()-F276))</f>
        <v/>
      </c>
      <c r="H276">
        <f>IF(A276="","",IF(E276&lt;=0,"Out of stock",IF(E276&lt;=5,"Low stock",IF(AND(G276&lt;&gt;"",G276&gt;=30),"Slow moving","OK"))))</f>
        <v/>
      </c>
    </row>
    <row r="277">
      <c r="A277">
        <f>IF(Products!A277="","",Products!A277)</f>
        <v/>
      </c>
      <c r="B277">
        <f>IF(A277="","",Products!C277)</f>
        <v/>
      </c>
      <c r="C277">
        <f>IF(A277="","",SUMIFS(Lots!F:F,Lots!B:B,A277))</f>
        <v/>
      </c>
      <c r="D277">
        <f>IF(A277="","",SUMIFS(Sales!F:F,Sales!D:D,A277))</f>
        <v/>
      </c>
      <c r="E277">
        <f>IF(A277="","",C277-D277)</f>
        <v/>
      </c>
      <c r="F277" s="3">
        <f>IF(A277="","",IF(D277=0,"",_xlfn.MAXIFS(Sales!C:C,Sales!D:D,A277)))</f>
        <v/>
      </c>
      <c r="G277">
        <f>IF(A277="","",IF(F277="","",TODAY()-F277))</f>
        <v/>
      </c>
      <c r="H277">
        <f>IF(A277="","",IF(E277&lt;=0,"Out of stock",IF(E277&lt;=5,"Low stock",IF(AND(G277&lt;&gt;"",G277&gt;=30),"Slow moving","OK"))))</f>
        <v/>
      </c>
    </row>
    <row r="278">
      <c r="A278">
        <f>IF(Products!A278="","",Products!A278)</f>
        <v/>
      </c>
      <c r="B278">
        <f>IF(A278="","",Products!C278)</f>
        <v/>
      </c>
      <c r="C278">
        <f>IF(A278="","",SUMIFS(Lots!F:F,Lots!B:B,A278))</f>
        <v/>
      </c>
      <c r="D278">
        <f>IF(A278="","",SUMIFS(Sales!F:F,Sales!D:D,A278))</f>
        <v/>
      </c>
      <c r="E278">
        <f>IF(A278="","",C278-D278)</f>
        <v/>
      </c>
      <c r="F278" s="3">
        <f>IF(A278="","",IF(D278=0,"",_xlfn.MAXIFS(Sales!C:C,Sales!D:D,A278)))</f>
        <v/>
      </c>
      <c r="G278">
        <f>IF(A278="","",IF(F278="","",TODAY()-F278))</f>
        <v/>
      </c>
      <c r="H278">
        <f>IF(A278="","",IF(E278&lt;=0,"Out of stock",IF(E278&lt;=5,"Low stock",IF(AND(G278&lt;&gt;"",G278&gt;=30),"Slow moving","OK"))))</f>
        <v/>
      </c>
    </row>
    <row r="279">
      <c r="A279">
        <f>IF(Products!A279="","",Products!A279)</f>
        <v/>
      </c>
      <c r="B279">
        <f>IF(A279="","",Products!C279)</f>
        <v/>
      </c>
      <c r="C279">
        <f>IF(A279="","",SUMIFS(Lots!F:F,Lots!B:B,A279))</f>
        <v/>
      </c>
      <c r="D279">
        <f>IF(A279="","",SUMIFS(Sales!F:F,Sales!D:D,A279))</f>
        <v/>
      </c>
      <c r="E279">
        <f>IF(A279="","",C279-D279)</f>
        <v/>
      </c>
      <c r="F279" s="3">
        <f>IF(A279="","",IF(D279=0,"",_xlfn.MAXIFS(Sales!C:C,Sales!D:D,A279)))</f>
        <v/>
      </c>
      <c r="G279">
        <f>IF(A279="","",IF(F279="","",TODAY()-F279))</f>
        <v/>
      </c>
      <c r="H279">
        <f>IF(A279="","",IF(E279&lt;=0,"Out of stock",IF(E279&lt;=5,"Low stock",IF(AND(G279&lt;&gt;"",G279&gt;=30),"Slow moving","OK"))))</f>
        <v/>
      </c>
    </row>
    <row r="280">
      <c r="A280">
        <f>IF(Products!A280="","",Products!A280)</f>
        <v/>
      </c>
      <c r="B280">
        <f>IF(A280="","",Products!C280)</f>
        <v/>
      </c>
      <c r="C280">
        <f>IF(A280="","",SUMIFS(Lots!F:F,Lots!B:B,A280))</f>
        <v/>
      </c>
      <c r="D280">
        <f>IF(A280="","",SUMIFS(Sales!F:F,Sales!D:D,A280))</f>
        <v/>
      </c>
      <c r="E280">
        <f>IF(A280="","",C280-D280)</f>
        <v/>
      </c>
      <c r="F280" s="3">
        <f>IF(A280="","",IF(D280=0,"",_xlfn.MAXIFS(Sales!C:C,Sales!D:D,A280)))</f>
        <v/>
      </c>
      <c r="G280">
        <f>IF(A280="","",IF(F280="","",TODAY()-F280))</f>
        <v/>
      </c>
      <c r="H280">
        <f>IF(A280="","",IF(E280&lt;=0,"Out of stock",IF(E280&lt;=5,"Low stock",IF(AND(G280&lt;&gt;"",G280&gt;=30),"Slow moving","OK"))))</f>
        <v/>
      </c>
    </row>
    <row r="281">
      <c r="A281">
        <f>IF(Products!A281="","",Products!A281)</f>
        <v/>
      </c>
      <c r="B281">
        <f>IF(A281="","",Products!C281)</f>
        <v/>
      </c>
      <c r="C281">
        <f>IF(A281="","",SUMIFS(Lots!F:F,Lots!B:B,A281))</f>
        <v/>
      </c>
      <c r="D281">
        <f>IF(A281="","",SUMIFS(Sales!F:F,Sales!D:D,A281))</f>
        <v/>
      </c>
      <c r="E281">
        <f>IF(A281="","",C281-D281)</f>
        <v/>
      </c>
      <c r="F281" s="3">
        <f>IF(A281="","",IF(D281=0,"",_xlfn.MAXIFS(Sales!C:C,Sales!D:D,A281)))</f>
        <v/>
      </c>
      <c r="G281">
        <f>IF(A281="","",IF(F281="","",TODAY()-F281))</f>
        <v/>
      </c>
      <c r="H281">
        <f>IF(A281="","",IF(E281&lt;=0,"Out of stock",IF(E281&lt;=5,"Low stock",IF(AND(G281&lt;&gt;"",G281&gt;=30),"Slow moving","OK"))))</f>
        <v/>
      </c>
    </row>
    <row r="282">
      <c r="A282">
        <f>IF(Products!A282="","",Products!A282)</f>
        <v/>
      </c>
      <c r="B282">
        <f>IF(A282="","",Products!C282)</f>
        <v/>
      </c>
      <c r="C282">
        <f>IF(A282="","",SUMIFS(Lots!F:F,Lots!B:B,A282))</f>
        <v/>
      </c>
      <c r="D282">
        <f>IF(A282="","",SUMIFS(Sales!F:F,Sales!D:D,A282))</f>
        <v/>
      </c>
      <c r="E282">
        <f>IF(A282="","",C282-D282)</f>
        <v/>
      </c>
      <c r="F282" s="3">
        <f>IF(A282="","",IF(D282=0,"",_xlfn.MAXIFS(Sales!C:C,Sales!D:D,A282)))</f>
        <v/>
      </c>
      <c r="G282">
        <f>IF(A282="","",IF(F282="","",TODAY()-F282))</f>
        <v/>
      </c>
      <c r="H282">
        <f>IF(A282="","",IF(E282&lt;=0,"Out of stock",IF(E282&lt;=5,"Low stock",IF(AND(G282&lt;&gt;"",G282&gt;=30),"Slow moving","OK"))))</f>
        <v/>
      </c>
    </row>
    <row r="283">
      <c r="A283">
        <f>IF(Products!A283="","",Products!A283)</f>
        <v/>
      </c>
      <c r="B283">
        <f>IF(A283="","",Products!C283)</f>
        <v/>
      </c>
      <c r="C283">
        <f>IF(A283="","",SUMIFS(Lots!F:F,Lots!B:B,A283))</f>
        <v/>
      </c>
      <c r="D283">
        <f>IF(A283="","",SUMIFS(Sales!F:F,Sales!D:D,A283))</f>
        <v/>
      </c>
      <c r="E283">
        <f>IF(A283="","",C283-D283)</f>
        <v/>
      </c>
      <c r="F283" s="3">
        <f>IF(A283="","",IF(D283=0,"",_xlfn.MAXIFS(Sales!C:C,Sales!D:D,A283)))</f>
        <v/>
      </c>
      <c r="G283">
        <f>IF(A283="","",IF(F283="","",TODAY()-F283))</f>
        <v/>
      </c>
      <c r="H283">
        <f>IF(A283="","",IF(E283&lt;=0,"Out of stock",IF(E283&lt;=5,"Low stock",IF(AND(G283&lt;&gt;"",G283&gt;=30),"Slow moving","OK"))))</f>
        <v/>
      </c>
    </row>
    <row r="284">
      <c r="A284">
        <f>IF(Products!A284="","",Products!A284)</f>
        <v/>
      </c>
      <c r="B284">
        <f>IF(A284="","",Products!C284)</f>
        <v/>
      </c>
      <c r="C284">
        <f>IF(A284="","",SUMIFS(Lots!F:F,Lots!B:B,A284))</f>
        <v/>
      </c>
      <c r="D284">
        <f>IF(A284="","",SUMIFS(Sales!F:F,Sales!D:D,A284))</f>
        <v/>
      </c>
      <c r="E284">
        <f>IF(A284="","",C284-D284)</f>
        <v/>
      </c>
      <c r="F284" s="3">
        <f>IF(A284="","",IF(D284=0,"",_xlfn.MAXIFS(Sales!C:C,Sales!D:D,A284)))</f>
        <v/>
      </c>
      <c r="G284">
        <f>IF(A284="","",IF(F284="","",TODAY()-F284))</f>
        <v/>
      </c>
      <c r="H284">
        <f>IF(A284="","",IF(E284&lt;=0,"Out of stock",IF(E284&lt;=5,"Low stock",IF(AND(G284&lt;&gt;"",G284&gt;=30),"Slow moving","OK"))))</f>
        <v/>
      </c>
    </row>
    <row r="285">
      <c r="A285">
        <f>IF(Products!A285="","",Products!A285)</f>
        <v/>
      </c>
      <c r="B285">
        <f>IF(A285="","",Products!C285)</f>
        <v/>
      </c>
      <c r="C285">
        <f>IF(A285="","",SUMIFS(Lots!F:F,Lots!B:B,A285))</f>
        <v/>
      </c>
      <c r="D285">
        <f>IF(A285="","",SUMIFS(Sales!F:F,Sales!D:D,A285))</f>
        <v/>
      </c>
      <c r="E285">
        <f>IF(A285="","",C285-D285)</f>
        <v/>
      </c>
      <c r="F285" s="3">
        <f>IF(A285="","",IF(D285=0,"",_xlfn.MAXIFS(Sales!C:C,Sales!D:D,A285)))</f>
        <v/>
      </c>
      <c r="G285">
        <f>IF(A285="","",IF(F285="","",TODAY()-F285))</f>
        <v/>
      </c>
      <c r="H285">
        <f>IF(A285="","",IF(E285&lt;=0,"Out of stock",IF(E285&lt;=5,"Low stock",IF(AND(G285&lt;&gt;"",G285&gt;=30),"Slow moving","OK"))))</f>
        <v/>
      </c>
    </row>
    <row r="286">
      <c r="A286">
        <f>IF(Products!A286="","",Products!A286)</f>
        <v/>
      </c>
      <c r="B286">
        <f>IF(A286="","",Products!C286)</f>
        <v/>
      </c>
      <c r="C286">
        <f>IF(A286="","",SUMIFS(Lots!F:F,Lots!B:B,A286))</f>
        <v/>
      </c>
      <c r="D286">
        <f>IF(A286="","",SUMIFS(Sales!F:F,Sales!D:D,A286))</f>
        <v/>
      </c>
      <c r="E286">
        <f>IF(A286="","",C286-D286)</f>
        <v/>
      </c>
      <c r="F286" s="3">
        <f>IF(A286="","",IF(D286=0,"",_xlfn.MAXIFS(Sales!C:C,Sales!D:D,A286)))</f>
        <v/>
      </c>
      <c r="G286">
        <f>IF(A286="","",IF(F286="","",TODAY()-F286))</f>
        <v/>
      </c>
      <c r="H286">
        <f>IF(A286="","",IF(E286&lt;=0,"Out of stock",IF(E286&lt;=5,"Low stock",IF(AND(G286&lt;&gt;"",G286&gt;=30),"Slow moving","OK"))))</f>
        <v/>
      </c>
    </row>
    <row r="287">
      <c r="A287">
        <f>IF(Products!A287="","",Products!A287)</f>
        <v/>
      </c>
      <c r="B287">
        <f>IF(A287="","",Products!C287)</f>
        <v/>
      </c>
      <c r="C287">
        <f>IF(A287="","",SUMIFS(Lots!F:F,Lots!B:B,A287))</f>
        <v/>
      </c>
      <c r="D287">
        <f>IF(A287="","",SUMIFS(Sales!F:F,Sales!D:D,A287))</f>
        <v/>
      </c>
      <c r="E287">
        <f>IF(A287="","",C287-D287)</f>
        <v/>
      </c>
      <c r="F287" s="3">
        <f>IF(A287="","",IF(D287=0,"",_xlfn.MAXIFS(Sales!C:C,Sales!D:D,A287)))</f>
        <v/>
      </c>
      <c r="G287">
        <f>IF(A287="","",IF(F287="","",TODAY()-F287))</f>
        <v/>
      </c>
      <c r="H287">
        <f>IF(A287="","",IF(E287&lt;=0,"Out of stock",IF(E287&lt;=5,"Low stock",IF(AND(G287&lt;&gt;"",G287&gt;=30),"Slow moving","OK"))))</f>
        <v/>
      </c>
    </row>
    <row r="288">
      <c r="A288">
        <f>IF(Products!A288="","",Products!A288)</f>
        <v/>
      </c>
      <c r="B288">
        <f>IF(A288="","",Products!C288)</f>
        <v/>
      </c>
      <c r="C288">
        <f>IF(A288="","",SUMIFS(Lots!F:F,Lots!B:B,A288))</f>
        <v/>
      </c>
      <c r="D288">
        <f>IF(A288="","",SUMIFS(Sales!F:F,Sales!D:D,A288))</f>
        <v/>
      </c>
      <c r="E288">
        <f>IF(A288="","",C288-D288)</f>
        <v/>
      </c>
      <c r="F288" s="3">
        <f>IF(A288="","",IF(D288=0,"",_xlfn.MAXIFS(Sales!C:C,Sales!D:D,A288)))</f>
        <v/>
      </c>
      <c r="G288">
        <f>IF(A288="","",IF(F288="","",TODAY()-F288))</f>
        <v/>
      </c>
      <c r="H288">
        <f>IF(A288="","",IF(E288&lt;=0,"Out of stock",IF(E288&lt;=5,"Low stock",IF(AND(G288&lt;&gt;"",G288&gt;=30),"Slow moving","OK"))))</f>
        <v/>
      </c>
    </row>
    <row r="289">
      <c r="A289">
        <f>IF(Products!A289="","",Products!A289)</f>
        <v/>
      </c>
      <c r="B289">
        <f>IF(A289="","",Products!C289)</f>
        <v/>
      </c>
      <c r="C289">
        <f>IF(A289="","",SUMIFS(Lots!F:F,Lots!B:B,A289))</f>
        <v/>
      </c>
      <c r="D289">
        <f>IF(A289="","",SUMIFS(Sales!F:F,Sales!D:D,A289))</f>
        <v/>
      </c>
      <c r="E289">
        <f>IF(A289="","",C289-D289)</f>
        <v/>
      </c>
      <c r="F289" s="3">
        <f>IF(A289="","",IF(D289=0,"",_xlfn.MAXIFS(Sales!C:C,Sales!D:D,A289)))</f>
        <v/>
      </c>
      <c r="G289">
        <f>IF(A289="","",IF(F289="","",TODAY()-F289))</f>
        <v/>
      </c>
      <c r="H289">
        <f>IF(A289="","",IF(E289&lt;=0,"Out of stock",IF(E289&lt;=5,"Low stock",IF(AND(G289&lt;&gt;"",G289&gt;=30),"Slow moving","OK"))))</f>
        <v/>
      </c>
    </row>
    <row r="290">
      <c r="A290">
        <f>IF(Products!A290="","",Products!A290)</f>
        <v/>
      </c>
      <c r="B290">
        <f>IF(A290="","",Products!C290)</f>
        <v/>
      </c>
      <c r="C290">
        <f>IF(A290="","",SUMIFS(Lots!F:F,Lots!B:B,A290))</f>
        <v/>
      </c>
      <c r="D290">
        <f>IF(A290="","",SUMIFS(Sales!F:F,Sales!D:D,A290))</f>
        <v/>
      </c>
      <c r="E290">
        <f>IF(A290="","",C290-D290)</f>
        <v/>
      </c>
      <c r="F290" s="3">
        <f>IF(A290="","",IF(D290=0,"",_xlfn.MAXIFS(Sales!C:C,Sales!D:D,A290)))</f>
        <v/>
      </c>
      <c r="G290">
        <f>IF(A290="","",IF(F290="","",TODAY()-F290))</f>
        <v/>
      </c>
      <c r="H290">
        <f>IF(A290="","",IF(E290&lt;=0,"Out of stock",IF(E290&lt;=5,"Low stock",IF(AND(G290&lt;&gt;"",G290&gt;=30),"Slow moving","OK"))))</f>
        <v/>
      </c>
    </row>
    <row r="291">
      <c r="A291">
        <f>IF(Products!A291="","",Products!A291)</f>
        <v/>
      </c>
      <c r="B291">
        <f>IF(A291="","",Products!C291)</f>
        <v/>
      </c>
      <c r="C291">
        <f>IF(A291="","",SUMIFS(Lots!F:F,Lots!B:B,A291))</f>
        <v/>
      </c>
      <c r="D291">
        <f>IF(A291="","",SUMIFS(Sales!F:F,Sales!D:D,A291))</f>
        <v/>
      </c>
      <c r="E291">
        <f>IF(A291="","",C291-D291)</f>
        <v/>
      </c>
      <c r="F291" s="3">
        <f>IF(A291="","",IF(D291=0,"",_xlfn.MAXIFS(Sales!C:C,Sales!D:D,A291)))</f>
        <v/>
      </c>
      <c r="G291">
        <f>IF(A291="","",IF(F291="","",TODAY()-F291))</f>
        <v/>
      </c>
      <c r="H291">
        <f>IF(A291="","",IF(E291&lt;=0,"Out of stock",IF(E291&lt;=5,"Low stock",IF(AND(G291&lt;&gt;"",G291&gt;=30),"Slow moving","OK"))))</f>
        <v/>
      </c>
    </row>
    <row r="292">
      <c r="A292">
        <f>IF(Products!A292="","",Products!A292)</f>
        <v/>
      </c>
      <c r="B292">
        <f>IF(A292="","",Products!C292)</f>
        <v/>
      </c>
      <c r="C292">
        <f>IF(A292="","",SUMIFS(Lots!F:F,Lots!B:B,A292))</f>
        <v/>
      </c>
      <c r="D292">
        <f>IF(A292="","",SUMIFS(Sales!F:F,Sales!D:D,A292))</f>
        <v/>
      </c>
      <c r="E292">
        <f>IF(A292="","",C292-D292)</f>
        <v/>
      </c>
      <c r="F292" s="3">
        <f>IF(A292="","",IF(D292=0,"",_xlfn.MAXIFS(Sales!C:C,Sales!D:D,A292)))</f>
        <v/>
      </c>
      <c r="G292">
        <f>IF(A292="","",IF(F292="","",TODAY()-F292))</f>
        <v/>
      </c>
      <c r="H292">
        <f>IF(A292="","",IF(E292&lt;=0,"Out of stock",IF(E292&lt;=5,"Low stock",IF(AND(G292&lt;&gt;"",G292&gt;=30),"Slow moving","OK"))))</f>
        <v/>
      </c>
    </row>
    <row r="293">
      <c r="A293">
        <f>IF(Products!A293="","",Products!A293)</f>
        <v/>
      </c>
      <c r="B293">
        <f>IF(A293="","",Products!C293)</f>
        <v/>
      </c>
      <c r="C293">
        <f>IF(A293="","",SUMIFS(Lots!F:F,Lots!B:B,A293))</f>
        <v/>
      </c>
      <c r="D293">
        <f>IF(A293="","",SUMIFS(Sales!F:F,Sales!D:D,A293))</f>
        <v/>
      </c>
      <c r="E293">
        <f>IF(A293="","",C293-D293)</f>
        <v/>
      </c>
      <c r="F293" s="3">
        <f>IF(A293="","",IF(D293=0,"",_xlfn.MAXIFS(Sales!C:C,Sales!D:D,A293)))</f>
        <v/>
      </c>
      <c r="G293">
        <f>IF(A293="","",IF(F293="","",TODAY()-F293))</f>
        <v/>
      </c>
      <c r="H293">
        <f>IF(A293="","",IF(E293&lt;=0,"Out of stock",IF(E293&lt;=5,"Low stock",IF(AND(G293&lt;&gt;"",G293&gt;=30),"Slow moving","OK"))))</f>
        <v/>
      </c>
    </row>
    <row r="294">
      <c r="A294">
        <f>IF(Products!A294="","",Products!A294)</f>
        <v/>
      </c>
      <c r="B294">
        <f>IF(A294="","",Products!C294)</f>
        <v/>
      </c>
      <c r="C294">
        <f>IF(A294="","",SUMIFS(Lots!F:F,Lots!B:B,A294))</f>
        <v/>
      </c>
      <c r="D294">
        <f>IF(A294="","",SUMIFS(Sales!F:F,Sales!D:D,A294))</f>
        <v/>
      </c>
      <c r="E294">
        <f>IF(A294="","",C294-D294)</f>
        <v/>
      </c>
      <c r="F294" s="3">
        <f>IF(A294="","",IF(D294=0,"",_xlfn.MAXIFS(Sales!C:C,Sales!D:D,A294)))</f>
        <v/>
      </c>
      <c r="G294">
        <f>IF(A294="","",IF(F294="","",TODAY()-F294))</f>
        <v/>
      </c>
      <c r="H294">
        <f>IF(A294="","",IF(E294&lt;=0,"Out of stock",IF(E294&lt;=5,"Low stock",IF(AND(G294&lt;&gt;"",G294&gt;=30),"Slow moving","OK"))))</f>
        <v/>
      </c>
    </row>
    <row r="295">
      <c r="A295">
        <f>IF(Products!A295="","",Products!A295)</f>
        <v/>
      </c>
      <c r="B295">
        <f>IF(A295="","",Products!C295)</f>
        <v/>
      </c>
      <c r="C295">
        <f>IF(A295="","",SUMIFS(Lots!F:F,Lots!B:B,A295))</f>
        <v/>
      </c>
      <c r="D295">
        <f>IF(A295="","",SUMIFS(Sales!F:F,Sales!D:D,A295))</f>
        <v/>
      </c>
      <c r="E295">
        <f>IF(A295="","",C295-D295)</f>
        <v/>
      </c>
      <c r="F295" s="3">
        <f>IF(A295="","",IF(D295=0,"",_xlfn.MAXIFS(Sales!C:C,Sales!D:D,A295)))</f>
        <v/>
      </c>
      <c r="G295">
        <f>IF(A295="","",IF(F295="","",TODAY()-F295))</f>
        <v/>
      </c>
      <c r="H295">
        <f>IF(A295="","",IF(E295&lt;=0,"Out of stock",IF(E295&lt;=5,"Low stock",IF(AND(G295&lt;&gt;"",G295&gt;=30),"Slow moving","OK"))))</f>
        <v/>
      </c>
    </row>
    <row r="296">
      <c r="A296">
        <f>IF(Products!A296="","",Products!A296)</f>
        <v/>
      </c>
      <c r="B296">
        <f>IF(A296="","",Products!C296)</f>
        <v/>
      </c>
      <c r="C296">
        <f>IF(A296="","",SUMIFS(Lots!F:F,Lots!B:B,A296))</f>
        <v/>
      </c>
      <c r="D296">
        <f>IF(A296="","",SUMIFS(Sales!F:F,Sales!D:D,A296))</f>
        <v/>
      </c>
      <c r="E296">
        <f>IF(A296="","",C296-D296)</f>
        <v/>
      </c>
      <c r="F296" s="3">
        <f>IF(A296="","",IF(D296=0,"",_xlfn.MAXIFS(Sales!C:C,Sales!D:D,A296)))</f>
        <v/>
      </c>
      <c r="G296">
        <f>IF(A296="","",IF(F296="","",TODAY()-F296))</f>
        <v/>
      </c>
      <c r="H296">
        <f>IF(A296="","",IF(E296&lt;=0,"Out of stock",IF(E296&lt;=5,"Low stock",IF(AND(G296&lt;&gt;"",G296&gt;=30),"Slow moving","OK"))))</f>
        <v/>
      </c>
    </row>
    <row r="297">
      <c r="A297">
        <f>IF(Products!A297="","",Products!A297)</f>
        <v/>
      </c>
      <c r="B297">
        <f>IF(A297="","",Products!C297)</f>
        <v/>
      </c>
      <c r="C297">
        <f>IF(A297="","",SUMIFS(Lots!F:F,Lots!B:B,A297))</f>
        <v/>
      </c>
      <c r="D297">
        <f>IF(A297="","",SUMIFS(Sales!F:F,Sales!D:D,A297))</f>
        <v/>
      </c>
      <c r="E297">
        <f>IF(A297="","",C297-D297)</f>
        <v/>
      </c>
      <c r="F297" s="3">
        <f>IF(A297="","",IF(D297=0,"",_xlfn.MAXIFS(Sales!C:C,Sales!D:D,A297)))</f>
        <v/>
      </c>
      <c r="G297">
        <f>IF(A297="","",IF(F297="","",TODAY()-F297))</f>
        <v/>
      </c>
      <c r="H297">
        <f>IF(A297="","",IF(E297&lt;=0,"Out of stock",IF(E297&lt;=5,"Low stock",IF(AND(G297&lt;&gt;"",G297&gt;=30),"Slow moving","OK"))))</f>
        <v/>
      </c>
    </row>
    <row r="298">
      <c r="A298">
        <f>IF(Products!A298="","",Products!A298)</f>
        <v/>
      </c>
      <c r="B298">
        <f>IF(A298="","",Products!C298)</f>
        <v/>
      </c>
      <c r="C298">
        <f>IF(A298="","",SUMIFS(Lots!F:F,Lots!B:B,A298))</f>
        <v/>
      </c>
      <c r="D298">
        <f>IF(A298="","",SUMIFS(Sales!F:F,Sales!D:D,A298))</f>
        <v/>
      </c>
      <c r="E298">
        <f>IF(A298="","",C298-D298)</f>
        <v/>
      </c>
      <c r="F298" s="3">
        <f>IF(A298="","",IF(D298=0,"",_xlfn.MAXIFS(Sales!C:C,Sales!D:D,A298)))</f>
        <v/>
      </c>
      <c r="G298">
        <f>IF(A298="","",IF(F298="","",TODAY()-F298))</f>
        <v/>
      </c>
      <c r="H298">
        <f>IF(A298="","",IF(E298&lt;=0,"Out of stock",IF(E298&lt;=5,"Low stock",IF(AND(G298&lt;&gt;"",G298&gt;=30),"Slow moving","OK"))))</f>
        <v/>
      </c>
    </row>
    <row r="299">
      <c r="A299">
        <f>IF(Products!A299="","",Products!A299)</f>
        <v/>
      </c>
      <c r="B299">
        <f>IF(A299="","",Products!C299)</f>
        <v/>
      </c>
      <c r="C299">
        <f>IF(A299="","",SUMIFS(Lots!F:F,Lots!B:B,A299))</f>
        <v/>
      </c>
      <c r="D299">
        <f>IF(A299="","",SUMIFS(Sales!F:F,Sales!D:D,A299))</f>
        <v/>
      </c>
      <c r="E299">
        <f>IF(A299="","",C299-D299)</f>
        <v/>
      </c>
      <c r="F299" s="3">
        <f>IF(A299="","",IF(D299=0,"",_xlfn.MAXIFS(Sales!C:C,Sales!D:D,A299)))</f>
        <v/>
      </c>
      <c r="G299">
        <f>IF(A299="","",IF(F299="","",TODAY()-F299))</f>
        <v/>
      </c>
      <c r="H299">
        <f>IF(A299="","",IF(E299&lt;=0,"Out of stock",IF(E299&lt;=5,"Low stock",IF(AND(G299&lt;&gt;"",G299&gt;=30),"Slow moving","OK"))))</f>
        <v/>
      </c>
    </row>
    <row r="300">
      <c r="A300">
        <f>IF(Products!A300="","",Products!A300)</f>
        <v/>
      </c>
      <c r="B300">
        <f>IF(A300="","",Products!C300)</f>
        <v/>
      </c>
      <c r="C300">
        <f>IF(A300="","",SUMIFS(Lots!F:F,Lots!B:B,A300))</f>
        <v/>
      </c>
      <c r="D300">
        <f>IF(A300="","",SUMIFS(Sales!F:F,Sales!D:D,A300))</f>
        <v/>
      </c>
      <c r="E300">
        <f>IF(A300="","",C300-D300)</f>
        <v/>
      </c>
      <c r="F300" s="3">
        <f>IF(A300="","",IF(D300=0,"",_xlfn.MAXIFS(Sales!C:C,Sales!D:D,A300)))</f>
        <v/>
      </c>
      <c r="G300">
        <f>IF(A300="","",IF(F300="","",TODAY()-F300))</f>
        <v/>
      </c>
      <c r="H300">
        <f>IF(A300="","",IF(E300&lt;=0,"Out of stock",IF(E300&lt;=5,"Low stock",IF(AND(G300&lt;&gt;"",G300&gt;=30),"Slow moving","OK"))))</f>
        <v/>
      </c>
    </row>
    <row r="301">
      <c r="A301">
        <f>IF(Products!A301="","",Products!A301)</f>
        <v/>
      </c>
      <c r="B301">
        <f>IF(A301="","",Products!C301)</f>
        <v/>
      </c>
      <c r="C301">
        <f>IF(A301="","",SUMIFS(Lots!F:F,Lots!B:B,A301))</f>
        <v/>
      </c>
      <c r="D301">
        <f>IF(A301="","",SUMIFS(Sales!F:F,Sales!D:D,A301))</f>
        <v/>
      </c>
      <c r="E301">
        <f>IF(A301="","",C301-D301)</f>
        <v/>
      </c>
      <c r="F301" s="3">
        <f>IF(A301="","",IF(D301=0,"",_xlfn.MAXIFS(Sales!C:C,Sales!D:D,A301)))</f>
        <v/>
      </c>
      <c r="G301">
        <f>IF(A301="","",IF(F301="","",TODAY()-F301))</f>
        <v/>
      </c>
      <c r="H301">
        <f>IF(A301="","",IF(E301&lt;=0,"Out of stock",IF(E301&lt;=5,"Low stock",IF(AND(G301&lt;&gt;"",G301&gt;=30),"Slow moving","OK"))))</f>
        <v/>
      </c>
    </row>
    <row r="302">
      <c r="A302">
        <f>IF(Products!A302="","",Products!A302)</f>
        <v/>
      </c>
      <c r="B302">
        <f>IF(A302="","",Products!C302)</f>
        <v/>
      </c>
      <c r="C302">
        <f>IF(A302="","",SUMIFS(Lots!F:F,Lots!B:B,A302))</f>
        <v/>
      </c>
      <c r="D302">
        <f>IF(A302="","",SUMIFS(Sales!F:F,Sales!D:D,A302))</f>
        <v/>
      </c>
      <c r="E302">
        <f>IF(A302="","",C302-D302)</f>
        <v/>
      </c>
      <c r="F302" s="3">
        <f>IF(A302="","",IF(D302=0,"",_xlfn.MAXIFS(Sales!C:C,Sales!D:D,A302)))</f>
        <v/>
      </c>
      <c r="G302">
        <f>IF(A302="","",IF(F302="","",TODAY()-F302))</f>
        <v/>
      </c>
      <c r="H302">
        <f>IF(A302="","",IF(E302&lt;=0,"Out of stock",IF(E302&lt;=5,"Low stock",IF(AND(G302&lt;&gt;"",G302&gt;=30),"Slow moving","OK"))))</f>
        <v/>
      </c>
    </row>
    <row r="303">
      <c r="A303">
        <f>IF(Products!A303="","",Products!A303)</f>
        <v/>
      </c>
      <c r="B303">
        <f>IF(A303="","",Products!C303)</f>
        <v/>
      </c>
      <c r="C303">
        <f>IF(A303="","",SUMIFS(Lots!F:F,Lots!B:B,A303))</f>
        <v/>
      </c>
      <c r="D303">
        <f>IF(A303="","",SUMIFS(Sales!F:F,Sales!D:D,A303))</f>
        <v/>
      </c>
      <c r="E303">
        <f>IF(A303="","",C303-D303)</f>
        <v/>
      </c>
      <c r="F303" s="3">
        <f>IF(A303="","",IF(D303=0,"",_xlfn.MAXIFS(Sales!C:C,Sales!D:D,A303)))</f>
        <v/>
      </c>
      <c r="G303">
        <f>IF(A303="","",IF(F303="","",TODAY()-F303))</f>
        <v/>
      </c>
      <c r="H303">
        <f>IF(A303="","",IF(E303&lt;=0,"Out of stock",IF(E303&lt;=5,"Low stock",IF(AND(G303&lt;&gt;"",G303&gt;=30),"Slow moving","OK"))))</f>
        <v/>
      </c>
    </row>
    <row r="304">
      <c r="A304">
        <f>IF(Products!A304="","",Products!A304)</f>
        <v/>
      </c>
      <c r="B304">
        <f>IF(A304="","",Products!C304)</f>
        <v/>
      </c>
      <c r="C304">
        <f>IF(A304="","",SUMIFS(Lots!F:F,Lots!B:B,A304))</f>
        <v/>
      </c>
      <c r="D304">
        <f>IF(A304="","",SUMIFS(Sales!F:F,Sales!D:D,A304))</f>
        <v/>
      </c>
      <c r="E304">
        <f>IF(A304="","",C304-D304)</f>
        <v/>
      </c>
      <c r="F304" s="3">
        <f>IF(A304="","",IF(D304=0,"",_xlfn.MAXIFS(Sales!C:C,Sales!D:D,A304)))</f>
        <v/>
      </c>
      <c r="G304">
        <f>IF(A304="","",IF(F304="","",TODAY()-F304))</f>
        <v/>
      </c>
      <c r="H304">
        <f>IF(A304="","",IF(E304&lt;=0,"Out of stock",IF(E304&lt;=5,"Low stock",IF(AND(G304&lt;&gt;"",G304&gt;=30),"Slow moving","OK"))))</f>
        <v/>
      </c>
    </row>
    <row r="305">
      <c r="A305">
        <f>IF(Products!A305="","",Products!A305)</f>
        <v/>
      </c>
      <c r="B305">
        <f>IF(A305="","",Products!C305)</f>
        <v/>
      </c>
      <c r="C305">
        <f>IF(A305="","",SUMIFS(Lots!F:F,Lots!B:B,A305))</f>
        <v/>
      </c>
      <c r="D305">
        <f>IF(A305="","",SUMIFS(Sales!F:F,Sales!D:D,A305))</f>
        <v/>
      </c>
      <c r="E305">
        <f>IF(A305="","",C305-D305)</f>
        <v/>
      </c>
      <c r="F305" s="3">
        <f>IF(A305="","",IF(D305=0,"",_xlfn.MAXIFS(Sales!C:C,Sales!D:D,A305)))</f>
        <v/>
      </c>
      <c r="G305">
        <f>IF(A305="","",IF(F305="","",TODAY()-F305))</f>
        <v/>
      </c>
      <c r="H305">
        <f>IF(A305="","",IF(E305&lt;=0,"Out of stock",IF(E305&lt;=5,"Low stock",IF(AND(G305&lt;&gt;"",G305&gt;=30),"Slow moving","OK"))))</f>
        <v/>
      </c>
    </row>
    <row r="306">
      <c r="A306">
        <f>IF(Products!A306="","",Products!A306)</f>
        <v/>
      </c>
      <c r="B306">
        <f>IF(A306="","",Products!C306)</f>
        <v/>
      </c>
      <c r="C306">
        <f>IF(A306="","",SUMIFS(Lots!F:F,Lots!B:B,A306))</f>
        <v/>
      </c>
      <c r="D306">
        <f>IF(A306="","",SUMIFS(Sales!F:F,Sales!D:D,A306))</f>
        <v/>
      </c>
      <c r="E306">
        <f>IF(A306="","",C306-D306)</f>
        <v/>
      </c>
      <c r="F306" s="3">
        <f>IF(A306="","",IF(D306=0,"",_xlfn.MAXIFS(Sales!C:C,Sales!D:D,A306)))</f>
        <v/>
      </c>
      <c r="G306">
        <f>IF(A306="","",IF(F306="","",TODAY()-F306))</f>
        <v/>
      </c>
      <c r="H306">
        <f>IF(A306="","",IF(E306&lt;=0,"Out of stock",IF(E306&lt;=5,"Low stock",IF(AND(G306&lt;&gt;"",G306&gt;=30),"Slow moving","OK"))))</f>
        <v/>
      </c>
    </row>
    <row r="307">
      <c r="A307">
        <f>IF(Products!A307="","",Products!A307)</f>
        <v/>
      </c>
      <c r="B307">
        <f>IF(A307="","",Products!C307)</f>
        <v/>
      </c>
      <c r="C307">
        <f>IF(A307="","",SUMIFS(Lots!F:F,Lots!B:B,A307))</f>
        <v/>
      </c>
      <c r="D307">
        <f>IF(A307="","",SUMIFS(Sales!F:F,Sales!D:D,A307))</f>
        <v/>
      </c>
      <c r="E307">
        <f>IF(A307="","",C307-D307)</f>
        <v/>
      </c>
      <c r="F307" s="3">
        <f>IF(A307="","",IF(D307=0,"",_xlfn.MAXIFS(Sales!C:C,Sales!D:D,A307)))</f>
        <v/>
      </c>
      <c r="G307">
        <f>IF(A307="","",IF(F307="","",TODAY()-F307))</f>
        <v/>
      </c>
      <c r="H307">
        <f>IF(A307="","",IF(E307&lt;=0,"Out of stock",IF(E307&lt;=5,"Low stock",IF(AND(G307&lt;&gt;"",G307&gt;=30),"Slow moving","OK"))))</f>
        <v/>
      </c>
    </row>
    <row r="308">
      <c r="A308">
        <f>IF(Products!A308="","",Products!A308)</f>
        <v/>
      </c>
      <c r="B308">
        <f>IF(A308="","",Products!C308)</f>
        <v/>
      </c>
      <c r="C308">
        <f>IF(A308="","",SUMIFS(Lots!F:F,Lots!B:B,A308))</f>
        <v/>
      </c>
      <c r="D308">
        <f>IF(A308="","",SUMIFS(Sales!F:F,Sales!D:D,A308))</f>
        <v/>
      </c>
      <c r="E308">
        <f>IF(A308="","",C308-D308)</f>
        <v/>
      </c>
      <c r="F308" s="3">
        <f>IF(A308="","",IF(D308=0,"",_xlfn.MAXIFS(Sales!C:C,Sales!D:D,A308)))</f>
        <v/>
      </c>
      <c r="G308">
        <f>IF(A308="","",IF(F308="","",TODAY()-F308))</f>
        <v/>
      </c>
      <c r="H308">
        <f>IF(A308="","",IF(E308&lt;=0,"Out of stock",IF(E308&lt;=5,"Low stock",IF(AND(G308&lt;&gt;"",G308&gt;=30),"Slow moving","OK"))))</f>
        <v/>
      </c>
    </row>
    <row r="309">
      <c r="A309">
        <f>IF(Products!A309="","",Products!A309)</f>
        <v/>
      </c>
      <c r="B309">
        <f>IF(A309="","",Products!C309)</f>
        <v/>
      </c>
      <c r="C309">
        <f>IF(A309="","",SUMIFS(Lots!F:F,Lots!B:B,A309))</f>
        <v/>
      </c>
      <c r="D309">
        <f>IF(A309="","",SUMIFS(Sales!F:F,Sales!D:D,A309))</f>
        <v/>
      </c>
      <c r="E309">
        <f>IF(A309="","",C309-D309)</f>
        <v/>
      </c>
      <c r="F309" s="3">
        <f>IF(A309="","",IF(D309=0,"",_xlfn.MAXIFS(Sales!C:C,Sales!D:D,A309)))</f>
        <v/>
      </c>
      <c r="G309">
        <f>IF(A309="","",IF(F309="","",TODAY()-F309))</f>
        <v/>
      </c>
      <c r="H309">
        <f>IF(A309="","",IF(E309&lt;=0,"Out of stock",IF(E309&lt;=5,"Low stock",IF(AND(G309&lt;&gt;"",G309&gt;=30),"Slow moving","OK"))))</f>
        <v/>
      </c>
    </row>
    <row r="310">
      <c r="A310">
        <f>IF(Products!A310="","",Products!A310)</f>
        <v/>
      </c>
      <c r="B310">
        <f>IF(A310="","",Products!C310)</f>
        <v/>
      </c>
      <c r="C310">
        <f>IF(A310="","",SUMIFS(Lots!F:F,Lots!B:B,A310))</f>
        <v/>
      </c>
      <c r="D310">
        <f>IF(A310="","",SUMIFS(Sales!F:F,Sales!D:D,A310))</f>
        <v/>
      </c>
      <c r="E310">
        <f>IF(A310="","",C310-D310)</f>
        <v/>
      </c>
      <c r="F310" s="3">
        <f>IF(A310="","",IF(D310=0,"",_xlfn.MAXIFS(Sales!C:C,Sales!D:D,A310)))</f>
        <v/>
      </c>
      <c r="G310">
        <f>IF(A310="","",IF(F310="","",TODAY()-F310))</f>
        <v/>
      </c>
      <c r="H310">
        <f>IF(A310="","",IF(E310&lt;=0,"Out of stock",IF(E310&lt;=5,"Low stock",IF(AND(G310&lt;&gt;"",G310&gt;=30),"Slow moving","OK"))))</f>
        <v/>
      </c>
    </row>
    <row r="311">
      <c r="A311">
        <f>IF(Products!A311="","",Products!A311)</f>
        <v/>
      </c>
      <c r="B311">
        <f>IF(A311="","",Products!C311)</f>
        <v/>
      </c>
      <c r="C311">
        <f>IF(A311="","",SUMIFS(Lots!F:F,Lots!B:B,A311))</f>
        <v/>
      </c>
      <c r="D311">
        <f>IF(A311="","",SUMIFS(Sales!F:F,Sales!D:D,A311))</f>
        <v/>
      </c>
      <c r="E311">
        <f>IF(A311="","",C311-D311)</f>
        <v/>
      </c>
      <c r="F311" s="3">
        <f>IF(A311="","",IF(D311=0,"",_xlfn.MAXIFS(Sales!C:C,Sales!D:D,A311)))</f>
        <v/>
      </c>
      <c r="G311">
        <f>IF(A311="","",IF(F311="","",TODAY()-F311))</f>
        <v/>
      </c>
      <c r="H311">
        <f>IF(A311="","",IF(E311&lt;=0,"Out of stock",IF(E311&lt;=5,"Low stock",IF(AND(G311&lt;&gt;"",G311&gt;=30),"Slow moving","OK"))))</f>
        <v/>
      </c>
    </row>
    <row r="312">
      <c r="A312">
        <f>IF(Products!A312="","",Products!A312)</f>
        <v/>
      </c>
      <c r="B312">
        <f>IF(A312="","",Products!C312)</f>
        <v/>
      </c>
      <c r="C312">
        <f>IF(A312="","",SUMIFS(Lots!F:F,Lots!B:B,A312))</f>
        <v/>
      </c>
      <c r="D312">
        <f>IF(A312="","",SUMIFS(Sales!F:F,Sales!D:D,A312))</f>
        <v/>
      </c>
      <c r="E312">
        <f>IF(A312="","",C312-D312)</f>
        <v/>
      </c>
      <c r="F312" s="3">
        <f>IF(A312="","",IF(D312=0,"",_xlfn.MAXIFS(Sales!C:C,Sales!D:D,A312)))</f>
        <v/>
      </c>
      <c r="G312">
        <f>IF(A312="","",IF(F312="","",TODAY()-F312))</f>
        <v/>
      </c>
      <c r="H312">
        <f>IF(A312="","",IF(E312&lt;=0,"Out of stock",IF(E312&lt;=5,"Low stock",IF(AND(G312&lt;&gt;"",G312&gt;=30),"Slow moving","OK"))))</f>
        <v/>
      </c>
    </row>
    <row r="313">
      <c r="A313">
        <f>IF(Products!A313="","",Products!A313)</f>
        <v/>
      </c>
      <c r="B313">
        <f>IF(A313="","",Products!C313)</f>
        <v/>
      </c>
      <c r="C313">
        <f>IF(A313="","",SUMIFS(Lots!F:F,Lots!B:B,A313))</f>
        <v/>
      </c>
      <c r="D313">
        <f>IF(A313="","",SUMIFS(Sales!F:F,Sales!D:D,A313))</f>
        <v/>
      </c>
      <c r="E313">
        <f>IF(A313="","",C313-D313)</f>
        <v/>
      </c>
      <c r="F313" s="3">
        <f>IF(A313="","",IF(D313=0,"",_xlfn.MAXIFS(Sales!C:C,Sales!D:D,A313)))</f>
        <v/>
      </c>
      <c r="G313">
        <f>IF(A313="","",IF(F313="","",TODAY()-F313))</f>
        <v/>
      </c>
      <c r="H313">
        <f>IF(A313="","",IF(E313&lt;=0,"Out of stock",IF(E313&lt;=5,"Low stock",IF(AND(G313&lt;&gt;"",G313&gt;=30),"Slow moving","OK"))))</f>
        <v/>
      </c>
    </row>
    <row r="314">
      <c r="A314">
        <f>IF(Products!A314="","",Products!A314)</f>
        <v/>
      </c>
      <c r="B314">
        <f>IF(A314="","",Products!C314)</f>
        <v/>
      </c>
      <c r="C314">
        <f>IF(A314="","",SUMIFS(Lots!F:F,Lots!B:B,A314))</f>
        <v/>
      </c>
      <c r="D314">
        <f>IF(A314="","",SUMIFS(Sales!F:F,Sales!D:D,A314))</f>
        <v/>
      </c>
      <c r="E314">
        <f>IF(A314="","",C314-D314)</f>
        <v/>
      </c>
      <c r="F314" s="3">
        <f>IF(A314="","",IF(D314=0,"",_xlfn.MAXIFS(Sales!C:C,Sales!D:D,A314)))</f>
        <v/>
      </c>
      <c r="G314">
        <f>IF(A314="","",IF(F314="","",TODAY()-F314))</f>
        <v/>
      </c>
      <c r="H314">
        <f>IF(A314="","",IF(E314&lt;=0,"Out of stock",IF(E314&lt;=5,"Low stock",IF(AND(G314&lt;&gt;"",G314&gt;=30),"Slow moving","OK"))))</f>
        <v/>
      </c>
    </row>
    <row r="315">
      <c r="A315">
        <f>IF(Products!A315="","",Products!A315)</f>
        <v/>
      </c>
      <c r="B315">
        <f>IF(A315="","",Products!C315)</f>
        <v/>
      </c>
      <c r="C315">
        <f>IF(A315="","",SUMIFS(Lots!F:F,Lots!B:B,A315))</f>
        <v/>
      </c>
      <c r="D315">
        <f>IF(A315="","",SUMIFS(Sales!F:F,Sales!D:D,A315))</f>
        <v/>
      </c>
      <c r="E315">
        <f>IF(A315="","",C315-D315)</f>
        <v/>
      </c>
      <c r="F315" s="3">
        <f>IF(A315="","",IF(D315=0,"",_xlfn.MAXIFS(Sales!C:C,Sales!D:D,A315)))</f>
        <v/>
      </c>
      <c r="G315">
        <f>IF(A315="","",IF(F315="","",TODAY()-F315))</f>
        <v/>
      </c>
      <c r="H315">
        <f>IF(A315="","",IF(E315&lt;=0,"Out of stock",IF(E315&lt;=5,"Low stock",IF(AND(G315&lt;&gt;"",G315&gt;=30),"Slow moving","OK"))))</f>
        <v/>
      </c>
    </row>
    <row r="316">
      <c r="A316">
        <f>IF(Products!A316="","",Products!A316)</f>
        <v/>
      </c>
      <c r="B316">
        <f>IF(A316="","",Products!C316)</f>
        <v/>
      </c>
      <c r="C316">
        <f>IF(A316="","",SUMIFS(Lots!F:F,Lots!B:B,A316))</f>
        <v/>
      </c>
      <c r="D316">
        <f>IF(A316="","",SUMIFS(Sales!F:F,Sales!D:D,A316))</f>
        <v/>
      </c>
      <c r="E316">
        <f>IF(A316="","",C316-D316)</f>
        <v/>
      </c>
      <c r="F316" s="3">
        <f>IF(A316="","",IF(D316=0,"",_xlfn.MAXIFS(Sales!C:C,Sales!D:D,A316)))</f>
        <v/>
      </c>
      <c r="G316">
        <f>IF(A316="","",IF(F316="","",TODAY()-F316))</f>
        <v/>
      </c>
      <c r="H316">
        <f>IF(A316="","",IF(E316&lt;=0,"Out of stock",IF(E316&lt;=5,"Low stock",IF(AND(G316&lt;&gt;"",G316&gt;=30),"Slow moving","OK"))))</f>
        <v/>
      </c>
    </row>
    <row r="317">
      <c r="A317">
        <f>IF(Products!A317="","",Products!A317)</f>
        <v/>
      </c>
      <c r="B317">
        <f>IF(A317="","",Products!C317)</f>
        <v/>
      </c>
      <c r="C317">
        <f>IF(A317="","",SUMIFS(Lots!F:F,Lots!B:B,A317))</f>
        <v/>
      </c>
      <c r="D317">
        <f>IF(A317="","",SUMIFS(Sales!F:F,Sales!D:D,A317))</f>
        <v/>
      </c>
      <c r="E317">
        <f>IF(A317="","",C317-D317)</f>
        <v/>
      </c>
      <c r="F317" s="3">
        <f>IF(A317="","",IF(D317=0,"",_xlfn.MAXIFS(Sales!C:C,Sales!D:D,A317)))</f>
        <v/>
      </c>
      <c r="G317">
        <f>IF(A317="","",IF(F317="","",TODAY()-F317))</f>
        <v/>
      </c>
      <c r="H317">
        <f>IF(A317="","",IF(E317&lt;=0,"Out of stock",IF(E317&lt;=5,"Low stock",IF(AND(G317&lt;&gt;"",G317&gt;=30),"Slow moving","OK"))))</f>
        <v/>
      </c>
    </row>
    <row r="318">
      <c r="A318">
        <f>IF(Products!A318="","",Products!A318)</f>
        <v/>
      </c>
      <c r="B318">
        <f>IF(A318="","",Products!C318)</f>
        <v/>
      </c>
      <c r="C318">
        <f>IF(A318="","",SUMIFS(Lots!F:F,Lots!B:B,A318))</f>
        <v/>
      </c>
      <c r="D318">
        <f>IF(A318="","",SUMIFS(Sales!F:F,Sales!D:D,A318))</f>
        <v/>
      </c>
      <c r="E318">
        <f>IF(A318="","",C318-D318)</f>
        <v/>
      </c>
      <c r="F318" s="3">
        <f>IF(A318="","",IF(D318=0,"",_xlfn.MAXIFS(Sales!C:C,Sales!D:D,A318)))</f>
        <v/>
      </c>
      <c r="G318">
        <f>IF(A318="","",IF(F318="","",TODAY()-F318))</f>
        <v/>
      </c>
      <c r="H318">
        <f>IF(A318="","",IF(E318&lt;=0,"Out of stock",IF(E318&lt;=5,"Low stock",IF(AND(G318&lt;&gt;"",G318&gt;=30),"Slow moving","OK"))))</f>
        <v/>
      </c>
    </row>
    <row r="319">
      <c r="A319">
        <f>IF(Products!A319="","",Products!A319)</f>
        <v/>
      </c>
      <c r="B319">
        <f>IF(A319="","",Products!C319)</f>
        <v/>
      </c>
      <c r="C319">
        <f>IF(A319="","",SUMIFS(Lots!F:F,Lots!B:B,A319))</f>
        <v/>
      </c>
      <c r="D319">
        <f>IF(A319="","",SUMIFS(Sales!F:F,Sales!D:D,A319))</f>
        <v/>
      </c>
      <c r="E319">
        <f>IF(A319="","",C319-D319)</f>
        <v/>
      </c>
      <c r="F319" s="3">
        <f>IF(A319="","",IF(D319=0,"",_xlfn.MAXIFS(Sales!C:C,Sales!D:D,A319)))</f>
        <v/>
      </c>
      <c r="G319">
        <f>IF(A319="","",IF(F319="","",TODAY()-F319))</f>
        <v/>
      </c>
      <c r="H319">
        <f>IF(A319="","",IF(E319&lt;=0,"Out of stock",IF(E319&lt;=5,"Low stock",IF(AND(G319&lt;&gt;"",G319&gt;=30),"Slow moving","OK"))))</f>
        <v/>
      </c>
    </row>
    <row r="320">
      <c r="A320">
        <f>IF(Products!A320="","",Products!A320)</f>
        <v/>
      </c>
      <c r="B320">
        <f>IF(A320="","",Products!C320)</f>
        <v/>
      </c>
      <c r="C320">
        <f>IF(A320="","",SUMIFS(Lots!F:F,Lots!B:B,A320))</f>
        <v/>
      </c>
      <c r="D320">
        <f>IF(A320="","",SUMIFS(Sales!F:F,Sales!D:D,A320))</f>
        <v/>
      </c>
      <c r="E320">
        <f>IF(A320="","",C320-D320)</f>
        <v/>
      </c>
      <c r="F320" s="3">
        <f>IF(A320="","",IF(D320=0,"",_xlfn.MAXIFS(Sales!C:C,Sales!D:D,A320)))</f>
        <v/>
      </c>
      <c r="G320">
        <f>IF(A320="","",IF(F320="","",TODAY()-F320))</f>
        <v/>
      </c>
      <c r="H320">
        <f>IF(A320="","",IF(E320&lt;=0,"Out of stock",IF(E320&lt;=5,"Low stock",IF(AND(G320&lt;&gt;"",G320&gt;=30),"Slow moving","OK"))))</f>
        <v/>
      </c>
    </row>
    <row r="321">
      <c r="A321">
        <f>IF(Products!A321="","",Products!A321)</f>
        <v/>
      </c>
      <c r="B321">
        <f>IF(A321="","",Products!C321)</f>
        <v/>
      </c>
      <c r="C321">
        <f>IF(A321="","",SUMIFS(Lots!F:F,Lots!B:B,A321))</f>
        <v/>
      </c>
      <c r="D321">
        <f>IF(A321="","",SUMIFS(Sales!F:F,Sales!D:D,A321))</f>
        <v/>
      </c>
      <c r="E321">
        <f>IF(A321="","",C321-D321)</f>
        <v/>
      </c>
      <c r="F321" s="3">
        <f>IF(A321="","",IF(D321=0,"",_xlfn.MAXIFS(Sales!C:C,Sales!D:D,A321)))</f>
        <v/>
      </c>
      <c r="G321">
        <f>IF(A321="","",IF(F321="","",TODAY()-F321))</f>
        <v/>
      </c>
      <c r="H321">
        <f>IF(A321="","",IF(E321&lt;=0,"Out of stock",IF(E321&lt;=5,"Low stock",IF(AND(G321&lt;&gt;"",G321&gt;=30),"Slow moving","OK"))))</f>
        <v/>
      </c>
    </row>
    <row r="322">
      <c r="A322">
        <f>IF(Products!A322="","",Products!A322)</f>
        <v/>
      </c>
      <c r="B322">
        <f>IF(A322="","",Products!C322)</f>
        <v/>
      </c>
      <c r="C322">
        <f>IF(A322="","",SUMIFS(Lots!F:F,Lots!B:B,A322))</f>
        <v/>
      </c>
      <c r="D322">
        <f>IF(A322="","",SUMIFS(Sales!F:F,Sales!D:D,A322))</f>
        <v/>
      </c>
      <c r="E322">
        <f>IF(A322="","",C322-D322)</f>
        <v/>
      </c>
      <c r="F322" s="3">
        <f>IF(A322="","",IF(D322=0,"",_xlfn.MAXIFS(Sales!C:C,Sales!D:D,A322)))</f>
        <v/>
      </c>
      <c r="G322">
        <f>IF(A322="","",IF(F322="","",TODAY()-F322))</f>
        <v/>
      </c>
      <c r="H322">
        <f>IF(A322="","",IF(E322&lt;=0,"Out of stock",IF(E322&lt;=5,"Low stock",IF(AND(G322&lt;&gt;"",G322&gt;=30),"Slow moving","OK"))))</f>
        <v/>
      </c>
    </row>
    <row r="323">
      <c r="A323">
        <f>IF(Products!A323="","",Products!A323)</f>
        <v/>
      </c>
      <c r="B323">
        <f>IF(A323="","",Products!C323)</f>
        <v/>
      </c>
      <c r="C323">
        <f>IF(A323="","",SUMIFS(Lots!F:F,Lots!B:B,A323))</f>
        <v/>
      </c>
      <c r="D323">
        <f>IF(A323="","",SUMIFS(Sales!F:F,Sales!D:D,A323))</f>
        <v/>
      </c>
      <c r="E323">
        <f>IF(A323="","",C323-D323)</f>
        <v/>
      </c>
      <c r="F323" s="3">
        <f>IF(A323="","",IF(D323=0,"",_xlfn.MAXIFS(Sales!C:C,Sales!D:D,A323)))</f>
        <v/>
      </c>
      <c r="G323">
        <f>IF(A323="","",IF(F323="","",TODAY()-F323))</f>
        <v/>
      </c>
      <c r="H323">
        <f>IF(A323="","",IF(E323&lt;=0,"Out of stock",IF(E323&lt;=5,"Low stock",IF(AND(G323&lt;&gt;"",G323&gt;=30),"Slow moving","OK"))))</f>
        <v/>
      </c>
    </row>
    <row r="324">
      <c r="A324">
        <f>IF(Products!A324="","",Products!A324)</f>
        <v/>
      </c>
      <c r="B324">
        <f>IF(A324="","",Products!C324)</f>
        <v/>
      </c>
      <c r="C324">
        <f>IF(A324="","",SUMIFS(Lots!F:F,Lots!B:B,A324))</f>
        <v/>
      </c>
      <c r="D324">
        <f>IF(A324="","",SUMIFS(Sales!F:F,Sales!D:D,A324))</f>
        <v/>
      </c>
      <c r="E324">
        <f>IF(A324="","",C324-D324)</f>
        <v/>
      </c>
      <c r="F324" s="3">
        <f>IF(A324="","",IF(D324=0,"",_xlfn.MAXIFS(Sales!C:C,Sales!D:D,A324)))</f>
        <v/>
      </c>
      <c r="G324">
        <f>IF(A324="","",IF(F324="","",TODAY()-F324))</f>
        <v/>
      </c>
      <c r="H324">
        <f>IF(A324="","",IF(E324&lt;=0,"Out of stock",IF(E324&lt;=5,"Low stock",IF(AND(G324&lt;&gt;"",G324&gt;=30),"Slow moving","OK"))))</f>
        <v/>
      </c>
    </row>
    <row r="325">
      <c r="A325">
        <f>IF(Products!A325="","",Products!A325)</f>
        <v/>
      </c>
      <c r="B325">
        <f>IF(A325="","",Products!C325)</f>
        <v/>
      </c>
      <c r="C325">
        <f>IF(A325="","",SUMIFS(Lots!F:F,Lots!B:B,A325))</f>
        <v/>
      </c>
      <c r="D325">
        <f>IF(A325="","",SUMIFS(Sales!F:F,Sales!D:D,A325))</f>
        <v/>
      </c>
      <c r="E325">
        <f>IF(A325="","",C325-D325)</f>
        <v/>
      </c>
      <c r="F325" s="3">
        <f>IF(A325="","",IF(D325=0,"",_xlfn.MAXIFS(Sales!C:C,Sales!D:D,A325)))</f>
        <v/>
      </c>
      <c r="G325">
        <f>IF(A325="","",IF(F325="","",TODAY()-F325))</f>
        <v/>
      </c>
      <c r="H325">
        <f>IF(A325="","",IF(E325&lt;=0,"Out of stock",IF(E325&lt;=5,"Low stock",IF(AND(G325&lt;&gt;"",G325&gt;=30),"Slow moving","OK"))))</f>
        <v/>
      </c>
    </row>
    <row r="326">
      <c r="A326">
        <f>IF(Products!A326="","",Products!A326)</f>
        <v/>
      </c>
      <c r="B326">
        <f>IF(A326="","",Products!C326)</f>
        <v/>
      </c>
      <c r="C326">
        <f>IF(A326="","",SUMIFS(Lots!F:F,Lots!B:B,A326))</f>
        <v/>
      </c>
      <c r="D326">
        <f>IF(A326="","",SUMIFS(Sales!F:F,Sales!D:D,A326))</f>
        <v/>
      </c>
      <c r="E326">
        <f>IF(A326="","",C326-D326)</f>
        <v/>
      </c>
      <c r="F326" s="3">
        <f>IF(A326="","",IF(D326=0,"",_xlfn.MAXIFS(Sales!C:C,Sales!D:D,A326)))</f>
        <v/>
      </c>
      <c r="G326">
        <f>IF(A326="","",IF(F326="","",TODAY()-F326))</f>
        <v/>
      </c>
      <c r="H326">
        <f>IF(A326="","",IF(E326&lt;=0,"Out of stock",IF(E326&lt;=5,"Low stock",IF(AND(G326&lt;&gt;"",G326&gt;=30),"Slow moving","OK"))))</f>
        <v/>
      </c>
    </row>
    <row r="327">
      <c r="A327">
        <f>IF(Products!A327="","",Products!A327)</f>
        <v/>
      </c>
      <c r="B327">
        <f>IF(A327="","",Products!C327)</f>
        <v/>
      </c>
      <c r="C327">
        <f>IF(A327="","",SUMIFS(Lots!F:F,Lots!B:B,A327))</f>
        <v/>
      </c>
      <c r="D327">
        <f>IF(A327="","",SUMIFS(Sales!F:F,Sales!D:D,A327))</f>
        <v/>
      </c>
      <c r="E327">
        <f>IF(A327="","",C327-D327)</f>
        <v/>
      </c>
      <c r="F327" s="3">
        <f>IF(A327="","",IF(D327=0,"",_xlfn.MAXIFS(Sales!C:C,Sales!D:D,A327)))</f>
        <v/>
      </c>
      <c r="G327">
        <f>IF(A327="","",IF(F327="","",TODAY()-F327))</f>
        <v/>
      </c>
      <c r="H327">
        <f>IF(A327="","",IF(E327&lt;=0,"Out of stock",IF(E327&lt;=5,"Low stock",IF(AND(G327&lt;&gt;"",G327&gt;=30),"Slow moving","OK"))))</f>
        <v/>
      </c>
    </row>
    <row r="328">
      <c r="A328">
        <f>IF(Products!A328="","",Products!A328)</f>
        <v/>
      </c>
      <c r="B328">
        <f>IF(A328="","",Products!C328)</f>
        <v/>
      </c>
      <c r="C328">
        <f>IF(A328="","",SUMIFS(Lots!F:F,Lots!B:B,A328))</f>
        <v/>
      </c>
      <c r="D328">
        <f>IF(A328="","",SUMIFS(Sales!F:F,Sales!D:D,A328))</f>
        <v/>
      </c>
      <c r="E328">
        <f>IF(A328="","",C328-D328)</f>
        <v/>
      </c>
      <c r="F328" s="3">
        <f>IF(A328="","",IF(D328=0,"",_xlfn.MAXIFS(Sales!C:C,Sales!D:D,A328)))</f>
        <v/>
      </c>
      <c r="G328">
        <f>IF(A328="","",IF(F328="","",TODAY()-F328))</f>
        <v/>
      </c>
      <c r="H328">
        <f>IF(A328="","",IF(E328&lt;=0,"Out of stock",IF(E328&lt;=5,"Low stock",IF(AND(G328&lt;&gt;"",G328&gt;=30),"Slow moving","OK"))))</f>
        <v/>
      </c>
    </row>
    <row r="329">
      <c r="A329">
        <f>IF(Products!A329="","",Products!A329)</f>
        <v/>
      </c>
      <c r="B329">
        <f>IF(A329="","",Products!C329)</f>
        <v/>
      </c>
      <c r="C329">
        <f>IF(A329="","",SUMIFS(Lots!F:F,Lots!B:B,A329))</f>
        <v/>
      </c>
      <c r="D329">
        <f>IF(A329="","",SUMIFS(Sales!F:F,Sales!D:D,A329))</f>
        <v/>
      </c>
      <c r="E329">
        <f>IF(A329="","",C329-D329)</f>
        <v/>
      </c>
      <c r="F329" s="3">
        <f>IF(A329="","",IF(D329=0,"",_xlfn.MAXIFS(Sales!C:C,Sales!D:D,A329)))</f>
        <v/>
      </c>
      <c r="G329">
        <f>IF(A329="","",IF(F329="","",TODAY()-F329))</f>
        <v/>
      </c>
      <c r="H329">
        <f>IF(A329="","",IF(E329&lt;=0,"Out of stock",IF(E329&lt;=5,"Low stock",IF(AND(G329&lt;&gt;"",G329&gt;=30),"Slow moving","OK"))))</f>
        <v/>
      </c>
    </row>
    <row r="330">
      <c r="A330">
        <f>IF(Products!A330="","",Products!A330)</f>
        <v/>
      </c>
      <c r="B330">
        <f>IF(A330="","",Products!C330)</f>
        <v/>
      </c>
      <c r="C330">
        <f>IF(A330="","",SUMIFS(Lots!F:F,Lots!B:B,A330))</f>
        <v/>
      </c>
      <c r="D330">
        <f>IF(A330="","",SUMIFS(Sales!F:F,Sales!D:D,A330))</f>
        <v/>
      </c>
      <c r="E330">
        <f>IF(A330="","",C330-D330)</f>
        <v/>
      </c>
      <c r="F330" s="3">
        <f>IF(A330="","",IF(D330=0,"",_xlfn.MAXIFS(Sales!C:C,Sales!D:D,A330)))</f>
        <v/>
      </c>
      <c r="G330">
        <f>IF(A330="","",IF(F330="","",TODAY()-F330))</f>
        <v/>
      </c>
      <c r="H330">
        <f>IF(A330="","",IF(E330&lt;=0,"Out of stock",IF(E330&lt;=5,"Low stock",IF(AND(G330&lt;&gt;"",G330&gt;=30),"Slow moving","OK"))))</f>
        <v/>
      </c>
    </row>
    <row r="331">
      <c r="A331">
        <f>IF(Products!A331="","",Products!A331)</f>
        <v/>
      </c>
      <c r="B331">
        <f>IF(A331="","",Products!C331)</f>
        <v/>
      </c>
      <c r="C331">
        <f>IF(A331="","",SUMIFS(Lots!F:F,Lots!B:B,A331))</f>
        <v/>
      </c>
      <c r="D331">
        <f>IF(A331="","",SUMIFS(Sales!F:F,Sales!D:D,A331))</f>
        <v/>
      </c>
      <c r="E331">
        <f>IF(A331="","",C331-D331)</f>
        <v/>
      </c>
      <c r="F331" s="3">
        <f>IF(A331="","",IF(D331=0,"",_xlfn.MAXIFS(Sales!C:C,Sales!D:D,A331)))</f>
        <v/>
      </c>
      <c r="G331">
        <f>IF(A331="","",IF(F331="","",TODAY()-F331))</f>
        <v/>
      </c>
      <c r="H331">
        <f>IF(A331="","",IF(E331&lt;=0,"Out of stock",IF(E331&lt;=5,"Low stock",IF(AND(G331&lt;&gt;"",G331&gt;=30),"Slow moving","OK"))))</f>
        <v/>
      </c>
    </row>
    <row r="332">
      <c r="A332">
        <f>IF(Products!A332="","",Products!A332)</f>
        <v/>
      </c>
      <c r="B332">
        <f>IF(A332="","",Products!C332)</f>
        <v/>
      </c>
      <c r="C332">
        <f>IF(A332="","",SUMIFS(Lots!F:F,Lots!B:B,A332))</f>
        <v/>
      </c>
      <c r="D332">
        <f>IF(A332="","",SUMIFS(Sales!F:F,Sales!D:D,A332))</f>
        <v/>
      </c>
      <c r="E332">
        <f>IF(A332="","",C332-D332)</f>
        <v/>
      </c>
      <c r="F332" s="3">
        <f>IF(A332="","",IF(D332=0,"",_xlfn.MAXIFS(Sales!C:C,Sales!D:D,A332)))</f>
        <v/>
      </c>
      <c r="G332">
        <f>IF(A332="","",IF(F332="","",TODAY()-F332))</f>
        <v/>
      </c>
      <c r="H332">
        <f>IF(A332="","",IF(E332&lt;=0,"Out of stock",IF(E332&lt;=5,"Low stock",IF(AND(G332&lt;&gt;"",G332&gt;=30),"Slow moving","OK"))))</f>
        <v/>
      </c>
    </row>
    <row r="333">
      <c r="A333">
        <f>IF(Products!A333="","",Products!A333)</f>
        <v/>
      </c>
      <c r="B333">
        <f>IF(A333="","",Products!C333)</f>
        <v/>
      </c>
      <c r="C333">
        <f>IF(A333="","",SUMIFS(Lots!F:F,Lots!B:B,A333))</f>
        <v/>
      </c>
      <c r="D333">
        <f>IF(A333="","",SUMIFS(Sales!F:F,Sales!D:D,A333))</f>
        <v/>
      </c>
      <c r="E333">
        <f>IF(A333="","",C333-D333)</f>
        <v/>
      </c>
      <c r="F333" s="3">
        <f>IF(A333="","",IF(D333=0,"",_xlfn.MAXIFS(Sales!C:C,Sales!D:D,A333)))</f>
        <v/>
      </c>
      <c r="G333">
        <f>IF(A333="","",IF(F333="","",TODAY()-F333))</f>
        <v/>
      </c>
      <c r="H333">
        <f>IF(A333="","",IF(E333&lt;=0,"Out of stock",IF(E333&lt;=5,"Low stock",IF(AND(G333&lt;&gt;"",G333&gt;=30),"Slow moving","OK"))))</f>
        <v/>
      </c>
    </row>
    <row r="334">
      <c r="A334">
        <f>IF(Products!A334="","",Products!A334)</f>
        <v/>
      </c>
      <c r="B334">
        <f>IF(A334="","",Products!C334)</f>
        <v/>
      </c>
      <c r="C334">
        <f>IF(A334="","",SUMIFS(Lots!F:F,Lots!B:B,A334))</f>
        <v/>
      </c>
      <c r="D334">
        <f>IF(A334="","",SUMIFS(Sales!F:F,Sales!D:D,A334))</f>
        <v/>
      </c>
      <c r="E334">
        <f>IF(A334="","",C334-D334)</f>
        <v/>
      </c>
      <c r="F334" s="3">
        <f>IF(A334="","",IF(D334=0,"",_xlfn.MAXIFS(Sales!C:C,Sales!D:D,A334)))</f>
        <v/>
      </c>
      <c r="G334">
        <f>IF(A334="","",IF(F334="","",TODAY()-F334))</f>
        <v/>
      </c>
      <c r="H334">
        <f>IF(A334="","",IF(E334&lt;=0,"Out of stock",IF(E334&lt;=5,"Low stock",IF(AND(G334&lt;&gt;"",G334&gt;=30),"Slow moving","OK"))))</f>
        <v/>
      </c>
    </row>
    <row r="335">
      <c r="A335">
        <f>IF(Products!A335="","",Products!A335)</f>
        <v/>
      </c>
      <c r="B335">
        <f>IF(A335="","",Products!C335)</f>
        <v/>
      </c>
      <c r="C335">
        <f>IF(A335="","",SUMIFS(Lots!F:F,Lots!B:B,A335))</f>
        <v/>
      </c>
      <c r="D335">
        <f>IF(A335="","",SUMIFS(Sales!F:F,Sales!D:D,A335))</f>
        <v/>
      </c>
      <c r="E335">
        <f>IF(A335="","",C335-D335)</f>
        <v/>
      </c>
      <c r="F335" s="3">
        <f>IF(A335="","",IF(D335=0,"",_xlfn.MAXIFS(Sales!C:C,Sales!D:D,A335)))</f>
        <v/>
      </c>
      <c r="G335">
        <f>IF(A335="","",IF(F335="","",TODAY()-F335))</f>
        <v/>
      </c>
      <c r="H335">
        <f>IF(A335="","",IF(E335&lt;=0,"Out of stock",IF(E335&lt;=5,"Low stock",IF(AND(G335&lt;&gt;"",G335&gt;=30),"Slow moving","OK"))))</f>
        <v/>
      </c>
    </row>
    <row r="336">
      <c r="A336">
        <f>IF(Products!A336="","",Products!A336)</f>
        <v/>
      </c>
      <c r="B336">
        <f>IF(A336="","",Products!C336)</f>
        <v/>
      </c>
      <c r="C336">
        <f>IF(A336="","",SUMIFS(Lots!F:F,Lots!B:B,A336))</f>
        <v/>
      </c>
      <c r="D336">
        <f>IF(A336="","",SUMIFS(Sales!F:F,Sales!D:D,A336))</f>
        <v/>
      </c>
      <c r="E336">
        <f>IF(A336="","",C336-D336)</f>
        <v/>
      </c>
      <c r="F336" s="3">
        <f>IF(A336="","",IF(D336=0,"",_xlfn.MAXIFS(Sales!C:C,Sales!D:D,A336)))</f>
        <v/>
      </c>
      <c r="G336">
        <f>IF(A336="","",IF(F336="","",TODAY()-F336))</f>
        <v/>
      </c>
      <c r="H336">
        <f>IF(A336="","",IF(E336&lt;=0,"Out of stock",IF(E336&lt;=5,"Low stock",IF(AND(G336&lt;&gt;"",G336&gt;=30),"Slow moving","OK"))))</f>
        <v/>
      </c>
    </row>
    <row r="337">
      <c r="A337">
        <f>IF(Products!A337="","",Products!A337)</f>
        <v/>
      </c>
      <c r="B337">
        <f>IF(A337="","",Products!C337)</f>
        <v/>
      </c>
      <c r="C337">
        <f>IF(A337="","",SUMIFS(Lots!F:F,Lots!B:B,A337))</f>
        <v/>
      </c>
      <c r="D337">
        <f>IF(A337="","",SUMIFS(Sales!F:F,Sales!D:D,A337))</f>
        <v/>
      </c>
      <c r="E337">
        <f>IF(A337="","",C337-D337)</f>
        <v/>
      </c>
      <c r="F337" s="3">
        <f>IF(A337="","",IF(D337=0,"",_xlfn.MAXIFS(Sales!C:C,Sales!D:D,A337)))</f>
        <v/>
      </c>
      <c r="G337">
        <f>IF(A337="","",IF(F337="","",TODAY()-F337))</f>
        <v/>
      </c>
      <c r="H337">
        <f>IF(A337="","",IF(E337&lt;=0,"Out of stock",IF(E337&lt;=5,"Low stock",IF(AND(G337&lt;&gt;"",G337&gt;=30),"Slow moving","OK"))))</f>
        <v/>
      </c>
    </row>
    <row r="338">
      <c r="A338">
        <f>IF(Products!A338="","",Products!A338)</f>
        <v/>
      </c>
      <c r="B338">
        <f>IF(A338="","",Products!C338)</f>
        <v/>
      </c>
      <c r="C338">
        <f>IF(A338="","",SUMIFS(Lots!F:F,Lots!B:B,A338))</f>
        <v/>
      </c>
      <c r="D338">
        <f>IF(A338="","",SUMIFS(Sales!F:F,Sales!D:D,A338))</f>
        <v/>
      </c>
      <c r="E338">
        <f>IF(A338="","",C338-D338)</f>
        <v/>
      </c>
      <c r="F338" s="3">
        <f>IF(A338="","",IF(D338=0,"",_xlfn.MAXIFS(Sales!C:C,Sales!D:D,A338)))</f>
        <v/>
      </c>
      <c r="G338">
        <f>IF(A338="","",IF(F338="","",TODAY()-F338))</f>
        <v/>
      </c>
      <c r="H338">
        <f>IF(A338="","",IF(E338&lt;=0,"Out of stock",IF(E338&lt;=5,"Low stock",IF(AND(G338&lt;&gt;"",G338&gt;=30),"Slow moving","OK"))))</f>
        <v/>
      </c>
    </row>
    <row r="339">
      <c r="A339">
        <f>IF(Products!A339="","",Products!A339)</f>
        <v/>
      </c>
      <c r="B339">
        <f>IF(A339="","",Products!C339)</f>
        <v/>
      </c>
      <c r="C339">
        <f>IF(A339="","",SUMIFS(Lots!F:F,Lots!B:B,A339))</f>
        <v/>
      </c>
      <c r="D339">
        <f>IF(A339="","",SUMIFS(Sales!F:F,Sales!D:D,A339))</f>
        <v/>
      </c>
      <c r="E339">
        <f>IF(A339="","",C339-D339)</f>
        <v/>
      </c>
      <c r="F339" s="3">
        <f>IF(A339="","",IF(D339=0,"",_xlfn.MAXIFS(Sales!C:C,Sales!D:D,A339)))</f>
        <v/>
      </c>
      <c r="G339">
        <f>IF(A339="","",IF(F339="","",TODAY()-F339))</f>
        <v/>
      </c>
      <c r="H339">
        <f>IF(A339="","",IF(E339&lt;=0,"Out of stock",IF(E339&lt;=5,"Low stock",IF(AND(G339&lt;&gt;"",G339&gt;=30),"Slow moving","OK"))))</f>
        <v/>
      </c>
    </row>
    <row r="340">
      <c r="A340">
        <f>IF(Products!A340="","",Products!A340)</f>
        <v/>
      </c>
      <c r="B340">
        <f>IF(A340="","",Products!C340)</f>
        <v/>
      </c>
      <c r="C340">
        <f>IF(A340="","",SUMIFS(Lots!F:F,Lots!B:B,A340))</f>
        <v/>
      </c>
      <c r="D340">
        <f>IF(A340="","",SUMIFS(Sales!F:F,Sales!D:D,A340))</f>
        <v/>
      </c>
      <c r="E340">
        <f>IF(A340="","",C340-D340)</f>
        <v/>
      </c>
      <c r="F340" s="3">
        <f>IF(A340="","",IF(D340=0,"",_xlfn.MAXIFS(Sales!C:C,Sales!D:D,A340)))</f>
        <v/>
      </c>
      <c r="G340">
        <f>IF(A340="","",IF(F340="","",TODAY()-F340))</f>
        <v/>
      </c>
      <c r="H340">
        <f>IF(A340="","",IF(E340&lt;=0,"Out of stock",IF(E340&lt;=5,"Low stock",IF(AND(G340&lt;&gt;"",G340&gt;=30),"Slow moving","OK"))))</f>
        <v/>
      </c>
    </row>
    <row r="341">
      <c r="A341">
        <f>IF(Products!A341="","",Products!A341)</f>
        <v/>
      </c>
      <c r="B341">
        <f>IF(A341="","",Products!C341)</f>
        <v/>
      </c>
      <c r="C341">
        <f>IF(A341="","",SUMIFS(Lots!F:F,Lots!B:B,A341))</f>
        <v/>
      </c>
      <c r="D341">
        <f>IF(A341="","",SUMIFS(Sales!F:F,Sales!D:D,A341))</f>
        <v/>
      </c>
      <c r="E341">
        <f>IF(A341="","",C341-D341)</f>
        <v/>
      </c>
      <c r="F341" s="3">
        <f>IF(A341="","",IF(D341=0,"",_xlfn.MAXIFS(Sales!C:C,Sales!D:D,A341)))</f>
        <v/>
      </c>
      <c r="G341">
        <f>IF(A341="","",IF(F341="","",TODAY()-F341))</f>
        <v/>
      </c>
      <c r="H341">
        <f>IF(A341="","",IF(E341&lt;=0,"Out of stock",IF(E341&lt;=5,"Low stock",IF(AND(G341&lt;&gt;"",G341&gt;=30),"Slow moving","OK"))))</f>
        <v/>
      </c>
    </row>
    <row r="342">
      <c r="A342">
        <f>IF(Products!A342="","",Products!A342)</f>
        <v/>
      </c>
      <c r="B342">
        <f>IF(A342="","",Products!C342)</f>
        <v/>
      </c>
      <c r="C342">
        <f>IF(A342="","",SUMIFS(Lots!F:F,Lots!B:B,A342))</f>
        <v/>
      </c>
      <c r="D342">
        <f>IF(A342="","",SUMIFS(Sales!F:F,Sales!D:D,A342))</f>
        <v/>
      </c>
      <c r="E342">
        <f>IF(A342="","",C342-D342)</f>
        <v/>
      </c>
      <c r="F342" s="3">
        <f>IF(A342="","",IF(D342=0,"",_xlfn.MAXIFS(Sales!C:C,Sales!D:D,A342)))</f>
        <v/>
      </c>
      <c r="G342">
        <f>IF(A342="","",IF(F342="","",TODAY()-F342))</f>
        <v/>
      </c>
      <c r="H342">
        <f>IF(A342="","",IF(E342&lt;=0,"Out of stock",IF(E342&lt;=5,"Low stock",IF(AND(G342&lt;&gt;"",G342&gt;=30),"Slow moving","OK"))))</f>
        <v/>
      </c>
    </row>
    <row r="343">
      <c r="A343">
        <f>IF(Products!A343="","",Products!A343)</f>
        <v/>
      </c>
      <c r="B343">
        <f>IF(A343="","",Products!C343)</f>
        <v/>
      </c>
      <c r="C343">
        <f>IF(A343="","",SUMIFS(Lots!F:F,Lots!B:B,A343))</f>
        <v/>
      </c>
      <c r="D343">
        <f>IF(A343="","",SUMIFS(Sales!F:F,Sales!D:D,A343))</f>
        <v/>
      </c>
      <c r="E343">
        <f>IF(A343="","",C343-D343)</f>
        <v/>
      </c>
      <c r="F343" s="3">
        <f>IF(A343="","",IF(D343=0,"",_xlfn.MAXIFS(Sales!C:C,Sales!D:D,A343)))</f>
        <v/>
      </c>
      <c r="G343">
        <f>IF(A343="","",IF(F343="","",TODAY()-F343))</f>
        <v/>
      </c>
      <c r="H343">
        <f>IF(A343="","",IF(E343&lt;=0,"Out of stock",IF(E343&lt;=5,"Low stock",IF(AND(G343&lt;&gt;"",G343&gt;=30),"Slow moving","OK"))))</f>
        <v/>
      </c>
    </row>
    <row r="344">
      <c r="A344">
        <f>IF(Products!A344="","",Products!A344)</f>
        <v/>
      </c>
      <c r="B344">
        <f>IF(A344="","",Products!C344)</f>
        <v/>
      </c>
      <c r="C344">
        <f>IF(A344="","",SUMIFS(Lots!F:F,Lots!B:B,A344))</f>
        <v/>
      </c>
      <c r="D344">
        <f>IF(A344="","",SUMIFS(Sales!F:F,Sales!D:D,A344))</f>
        <v/>
      </c>
      <c r="E344">
        <f>IF(A344="","",C344-D344)</f>
        <v/>
      </c>
      <c r="F344" s="3">
        <f>IF(A344="","",IF(D344=0,"",_xlfn.MAXIFS(Sales!C:C,Sales!D:D,A344)))</f>
        <v/>
      </c>
      <c r="G344">
        <f>IF(A344="","",IF(F344="","",TODAY()-F344))</f>
        <v/>
      </c>
      <c r="H344">
        <f>IF(A344="","",IF(E344&lt;=0,"Out of stock",IF(E344&lt;=5,"Low stock",IF(AND(G344&lt;&gt;"",G344&gt;=30),"Slow moving","OK"))))</f>
        <v/>
      </c>
    </row>
    <row r="345">
      <c r="A345">
        <f>IF(Products!A345="","",Products!A345)</f>
        <v/>
      </c>
      <c r="B345">
        <f>IF(A345="","",Products!C345)</f>
        <v/>
      </c>
      <c r="C345">
        <f>IF(A345="","",SUMIFS(Lots!F:F,Lots!B:B,A345))</f>
        <v/>
      </c>
      <c r="D345">
        <f>IF(A345="","",SUMIFS(Sales!F:F,Sales!D:D,A345))</f>
        <v/>
      </c>
      <c r="E345">
        <f>IF(A345="","",C345-D345)</f>
        <v/>
      </c>
      <c r="F345" s="3">
        <f>IF(A345="","",IF(D345=0,"",_xlfn.MAXIFS(Sales!C:C,Sales!D:D,A345)))</f>
        <v/>
      </c>
      <c r="G345">
        <f>IF(A345="","",IF(F345="","",TODAY()-F345))</f>
        <v/>
      </c>
      <c r="H345">
        <f>IF(A345="","",IF(E345&lt;=0,"Out of stock",IF(E345&lt;=5,"Low stock",IF(AND(G345&lt;&gt;"",G345&gt;=30),"Slow moving","OK"))))</f>
        <v/>
      </c>
    </row>
    <row r="346">
      <c r="A346">
        <f>IF(Products!A346="","",Products!A346)</f>
        <v/>
      </c>
      <c r="B346">
        <f>IF(A346="","",Products!C346)</f>
        <v/>
      </c>
      <c r="C346">
        <f>IF(A346="","",SUMIFS(Lots!F:F,Lots!B:B,A346))</f>
        <v/>
      </c>
      <c r="D346">
        <f>IF(A346="","",SUMIFS(Sales!F:F,Sales!D:D,A346))</f>
        <v/>
      </c>
      <c r="E346">
        <f>IF(A346="","",C346-D346)</f>
        <v/>
      </c>
      <c r="F346" s="3">
        <f>IF(A346="","",IF(D346=0,"",_xlfn.MAXIFS(Sales!C:C,Sales!D:D,A346)))</f>
        <v/>
      </c>
      <c r="G346">
        <f>IF(A346="","",IF(F346="","",TODAY()-F346))</f>
        <v/>
      </c>
      <c r="H346">
        <f>IF(A346="","",IF(E346&lt;=0,"Out of stock",IF(E346&lt;=5,"Low stock",IF(AND(G346&lt;&gt;"",G346&gt;=30),"Slow moving","OK"))))</f>
        <v/>
      </c>
    </row>
    <row r="347">
      <c r="A347">
        <f>IF(Products!A347="","",Products!A347)</f>
        <v/>
      </c>
      <c r="B347">
        <f>IF(A347="","",Products!C347)</f>
        <v/>
      </c>
      <c r="C347">
        <f>IF(A347="","",SUMIFS(Lots!F:F,Lots!B:B,A347))</f>
        <v/>
      </c>
      <c r="D347">
        <f>IF(A347="","",SUMIFS(Sales!F:F,Sales!D:D,A347))</f>
        <v/>
      </c>
      <c r="E347">
        <f>IF(A347="","",C347-D347)</f>
        <v/>
      </c>
      <c r="F347" s="3">
        <f>IF(A347="","",IF(D347=0,"",_xlfn.MAXIFS(Sales!C:C,Sales!D:D,A347)))</f>
        <v/>
      </c>
      <c r="G347">
        <f>IF(A347="","",IF(F347="","",TODAY()-F347))</f>
        <v/>
      </c>
      <c r="H347">
        <f>IF(A347="","",IF(E347&lt;=0,"Out of stock",IF(E347&lt;=5,"Low stock",IF(AND(G347&lt;&gt;"",G347&gt;=30),"Slow moving","OK"))))</f>
        <v/>
      </c>
    </row>
    <row r="348">
      <c r="A348">
        <f>IF(Products!A348="","",Products!A348)</f>
        <v/>
      </c>
      <c r="B348">
        <f>IF(A348="","",Products!C348)</f>
        <v/>
      </c>
      <c r="C348">
        <f>IF(A348="","",SUMIFS(Lots!F:F,Lots!B:B,A348))</f>
        <v/>
      </c>
      <c r="D348">
        <f>IF(A348="","",SUMIFS(Sales!F:F,Sales!D:D,A348))</f>
        <v/>
      </c>
      <c r="E348">
        <f>IF(A348="","",C348-D348)</f>
        <v/>
      </c>
      <c r="F348" s="3">
        <f>IF(A348="","",IF(D348=0,"",_xlfn.MAXIFS(Sales!C:C,Sales!D:D,A348)))</f>
        <v/>
      </c>
      <c r="G348">
        <f>IF(A348="","",IF(F348="","",TODAY()-F348))</f>
        <v/>
      </c>
      <c r="H348">
        <f>IF(A348="","",IF(E348&lt;=0,"Out of stock",IF(E348&lt;=5,"Low stock",IF(AND(G348&lt;&gt;"",G348&gt;=30),"Slow moving","OK"))))</f>
        <v/>
      </c>
    </row>
    <row r="349">
      <c r="A349">
        <f>IF(Products!A349="","",Products!A349)</f>
        <v/>
      </c>
      <c r="B349">
        <f>IF(A349="","",Products!C349)</f>
        <v/>
      </c>
      <c r="C349">
        <f>IF(A349="","",SUMIFS(Lots!F:F,Lots!B:B,A349))</f>
        <v/>
      </c>
      <c r="D349">
        <f>IF(A349="","",SUMIFS(Sales!F:F,Sales!D:D,A349))</f>
        <v/>
      </c>
      <c r="E349">
        <f>IF(A349="","",C349-D349)</f>
        <v/>
      </c>
      <c r="F349" s="3">
        <f>IF(A349="","",IF(D349=0,"",_xlfn.MAXIFS(Sales!C:C,Sales!D:D,A349)))</f>
        <v/>
      </c>
      <c r="G349">
        <f>IF(A349="","",IF(F349="","",TODAY()-F349))</f>
        <v/>
      </c>
      <c r="H349">
        <f>IF(A349="","",IF(E349&lt;=0,"Out of stock",IF(E349&lt;=5,"Low stock",IF(AND(G349&lt;&gt;"",G349&gt;=30),"Slow moving","OK"))))</f>
        <v/>
      </c>
    </row>
    <row r="350">
      <c r="A350">
        <f>IF(Products!A350="","",Products!A350)</f>
        <v/>
      </c>
      <c r="B350">
        <f>IF(A350="","",Products!C350)</f>
        <v/>
      </c>
      <c r="C350">
        <f>IF(A350="","",SUMIFS(Lots!F:F,Lots!B:B,A350))</f>
        <v/>
      </c>
      <c r="D350">
        <f>IF(A350="","",SUMIFS(Sales!F:F,Sales!D:D,A350))</f>
        <v/>
      </c>
      <c r="E350">
        <f>IF(A350="","",C350-D350)</f>
        <v/>
      </c>
      <c r="F350" s="3">
        <f>IF(A350="","",IF(D350=0,"",_xlfn.MAXIFS(Sales!C:C,Sales!D:D,A350)))</f>
        <v/>
      </c>
      <c r="G350">
        <f>IF(A350="","",IF(F350="","",TODAY()-F350))</f>
        <v/>
      </c>
      <c r="H350">
        <f>IF(A350="","",IF(E350&lt;=0,"Out of stock",IF(E350&lt;=5,"Low stock",IF(AND(G350&lt;&gt;"",G350&gt;=30),"Slow moving","OK"))))</f>
        <v/>
      </c>
    </row>
    <row r="351">
      <c r="A351">
        <f>IF(Products!A351="","",Products!A351)</f>
        <v/>
      </c>
      <c r="B351">
        <f>IF(A351="","",Products!C351)</f>
        <v/>
      </c>
      <c r="C351">
        <f>IF(A351="","",SUMIFS(Lots!F:F,Lots!B:B,A351))</f>
        <v/>
      </c>
      <c r="D351">
        <f>IF(A351="","",SUMIFS(Sales!F:F,Sales!D:D,A351))</f>
        <v/>
      </c>
      <c r="E351">
        <f>IF(A351="","",C351-D351)</f>
        <v/>
      </c>
      <c r="F351" s="3">
        <f>IF(A351="","",IF(D351=0,"",_xlfn.MAXIFS(Sales!C:C,Sales!D:D,A351)))</f>
        <v/>
      </c>
      <c r="G351">
        <f>IF(A351="","",IF(F351="","",TODAY()-F351))</f>
        <v/>
      </c>
      <c r="H351">
        <f>IF(A351="","",IF(E351&lt;=0,"Out of stock",IF(E351&lt;=5,"Low stock",IF(AND(G351&lt;&gt;"",G351&gt;=30),"Slow moving","OK"))))</f>
        <v/>
      </c>
    </row>
    <row r="352">
      <c r="A352">
        <f>IF(Products!A352="","",Products!A352)</f>
        <v/>
      </c>
      <c r="B352">
        <f>IF(A352="","",Products!C352)</f>
        <v/>
      </c>
      <c r="C352">
        <f>IF(A352="","",SUMIFS(Lots!F:F,Lots!B:B,A352))</f>
        <v/>
      </c>
      <c r="D352">
        <f>IF(A352="","",SUMIFS(Sales!F:F,Sales!D:D,A352))</f>
        <v/>
      </c>
      <c r="E352">
        <f>IF(A352="","",C352-D352)</f>
        <v/>
      </c>
      <c r="F352" s="3">
        <f>IF(A352="","",IF(D352=0,"",_xlfn.MAXIFS(Sales!C:C,Sales!D:D,A352)))</f>
        <v/>
      </c>
      <c r="G352">
        <f>IF(A352="","",IF(F352="","",TODAY()-F352))</f>
        <v/>
      </c>
      <c r="H352">
        <f>IF(A352="","",IF(E352&lt;=0,"Out of stock",IF(E352&lt;=5,"Low stock",IF(AND(G352&lt;&gt;"",G352&gt;=30),"Slow moving","OK"))))</f>
        <v/>
      </c>
    </row>
    <row r="353">
      <c r="A353">
        <f>IF(Products!A353="","",Products!A353)</f>
        <v/>
      </c>
      <c r="B353">
        <f>IF(A353="","",Products!C353)</f>
        <v/>
      </c>
      <c r="C353">
        <f>IF(A353="","",SUMIFS(Lots!F:F,Lots!B:B,A353))</f>
        <v/>
      </c>
      <c r="D353">
        <f>IF(A353="","",SUMIFS(Sales!F:F,Sales!D:D,A353))</f>
        <v/>
      </c>
      <c r="E353">
        <f>IF(A353="","",C353-D353)</f>
        <v/>
      </c>
      <c r="F353" s="3">
        <f>IF(A353="","",IF(D353=0,"",_xlfn.MAXIFS(Sales!C:C,Sales!D:D,A353)))</f>
        <v/>
      </c>
      <c r="G353">
        <f>IF(A353="","",IF(F353="","",TODAY()-F353))</f>
        <v/>
      </c>
      <c r="H353">
        <f>IF(A353="","",IF(E353&lt;=0,"Out of stock",IF(E353&lt;=5,"Low stock",IF(AND(G353&lt;&gt;"",G353&gt;=30),"Slow moving","OK"))))</f>
        <v/>
      </c>
    </row>
    <row r="354">
      <c r="A354">
        <f>IF(Products!A354="","",Products!A354)</f>
        <v/>
      </c>
      <c r="B354">
        <f>IF(A354="","",Products!C354)</f>
        <v/>
      </c>
      <c r="C354">
        <f>IF(A354="","",SUMIFS(Lots!F:F,Lots!B:B,A354))</f>
        <v/>
      </c>
      <c r="D354">
        <f>IF(A354="","",SUMIFS(Sales!F:F,Sales!D:D,A354))</f>
        <v/>
      </c>
      <c r="E354">
        <f>IF(A354="","",C354-D354)</f>
        <v/>
      </c>
      <c r="F354" s="3">
        <f>IF(A354="","",IF(D354=0,"",_xlfn.MAXIFS(Sales!C:C,Sales!D:D,A354)))</f>
        <v/>
      </c>
      <c r="G354">
        <f>IF(A354="","",IF(F354="","",TODAY()-F354))</f>
        <v/>
      </c>
      <c r="H354">
        <f>IF(A354="","",IF(E354&lt;=0,"Out of stock",IF(E354&lt;=5,"Low stock",IF(AND(G354&lt;&gt;"",G354&gt;=30),"Slow moving","OK"))))</f>
        <v/>
      </c>
    </row>
    <row r="355">
      <c r="A355">
        <f>IF(Products!A355="","",Products!A355)</f>
        <v/>
      </c>
      <c r="B355">
        <f>IF(A355="","",Products!C355)</f>
        <v/>
      </c>
      <c r="C355">
        <f>IF(A355="","",SUMIFS(Lots!F:F,Lots!B:B,A355))</f>
        <v/>
      </c>
      <c r="D355">
        <f>IF(A355="","",SUMIFS(Sales!F:F,Sales!D:D,A355))</f>
        <v/>
      </c>
      <c r="E355">
        <f>IF(A355="","",C355-D355)</f>
        <v/>
      </c>
      <c r="F355" s="3">
        <f>IF(A355="","",IF(D355=0,"",_xlfn.MAXIFS(Sales!C:C,Sales!D:D,A355)))</f>
        <v/>
      </c>
      <c r="G355">
        <f>IF(A355="","",IF(F355="","",TODAY()-F355))</f>
        <v/>
      </c>
      <c r="H355">
        <f>IF(A355="","",IF(E355&lt;=0,"Out of stock",IF(E355&lt;=5,"Low stock",IF(AND(G355&lt;&gt;"",G355&gt;=30),"Slow moving","OK"))))</f>
        <v/>
      </c>
    </row>
    <row r="356">
      <c r="A356">
        <f>IF(Products!A356="","",Products!A356)</f>
        <v/>
      </c>
      <c r="B356">
        <f>IF(A356="","",Products!C356)</f>
        <v/>
      </c>
      <c r="C356">
        <f>IF(A356="","",SUMIFS(Lots!F:F,Lots!B:B,A356))</f>
        <v/>
      </c>
      <c r="D356">
        <f>IF(A356="","",SUMIFS(Sales!F:F,Sales!D:D,A356))</f>
        <v/>
      </c>
      <c r="E356">
        <f>IF(A356="","",C356-D356)</f>
        <v/>
      </c>
      <c r="F356" s="3">
        <f>IF(A356="","",IF(D356=0,"",_xlfn.MAXIFS(Sales!C:C,Sales!D:D,A356)))</f>
        <v/>
      </c>
      <c r="G356">
        <f>IF(A356="","",IF(F356="","",TODAY()-F356))</f>
        <v/>
      </c>
      <c r="H356">
        <f>IF(A356="","",IF(E356&lt;=0,"Out of stock",IF(E356&lt;=5,"Low stock",IF(AND(G356&lt;&gt;"",G356&gt;=30),"Slow moving","OK"))))</f>
        <v/>
      </c>
    </row>
    <row r="357">
      <c r="A357">
        <f>IF(Products!A357="","",Products!A357)</f>
        <v/>
      </c>
      <c r="B357">
        <f>IF(A357="","",Products!C357)</f>
        <v/>
      </c>
      <c r="C357">
        <f>IF(A357="","",SUMIFS(Lots!F:F,Lots!B:B,A357))</f>
        <v/>
      </c>
      <c r="D357">
        <f>IF(A357="","",SUMIFS(Sales!F:F,Sales!D:D,A357))</f>
        <v/>
      </c>
      <c r="E357">
        <f>IF(A357="","",C357-D357)</f>
        <v/>
      </c>
      <c r="F357" s="3">
        <f>IF(A357="","",IF(D357=0,"",_xlfn.MAXIFS(Sales!C:C,Sales!D:D,A357)))</f>
        <v/>
      </c>
      <c r="G357">
        <f>IF(A357="","",IF(F357="","",TODAY()-F357))</f>
        <v/>
      </c>
      <c r="H357">
        <f>IF(A357="","",IF(E357&lt;=0,"Out of stock",IF(E357&lt;=5,"Low stock",IF(AND(G357&lt;&gt;"",G357&gt;=30),"Slow moving","OK"))))</f>
        <v/>
      </c>
    </row>
    <row r="358">
      <c r="A358">
        <f>IF(Products!A358="","",Products!A358)</f>
        <v/>
      </c>
      <c r="B358">
        <f>IF(A358="","",Products!C358)</f>
        <v/>
      </c>
      <c r="C358">
        <f>IF(A358="","",SUMIFS(Lots!F:F,Lots!B:B,A358))</f>
        <v/>
      </c>
      <c r="D358">
        <f>IF(A358="","",SUMIFS(Sales!F:F,Sales!D:D,A358))</f>
        <v/>
      </c>
      <c r="E358">
        <f>IF(A358="","",C358-D358)</f>
        <v/>
      </c>
      <c r="F358" s="3">
        <f>IF(A358="","",IF(D358=0,"",_xlfn.MAXIFS(Sales!C:C,Sales!D:D,A358)))</f>
        <v/>
      </c>
      <c r="G358">
        <f>IF(A358="","",IF(F358="","",TODAY()-F358))</f>
        <v/>
      </c>
      <c r="H358">
        <f>IF(A358="","",IF(E358&lt;=0,"Out of stock",IF(E358&lt;=5,"Low stock",IF(AND(G358&lt;&gt;"",G358&gt;=30),"Slow moving","OK"))))</f>
        <v/>
      </c>
    </row>
    <row r="359">
      <c r="A359">
        <f>IF(Products!A359="","",Products!A359)</f>
        <v/>
      </c>
      <c r="B359">
        <f>IF(A359="","",Products!C359)</f>
        <v/>
      </c>
      <c r="C359">
        <f>IF(A359="","",SUMIFS(Lots!F:F,Lots!B:B,A359))</f>
        <v/>
      </c>
      <c r="D359">
        <f>IF(A359="","",SUMIFS(Sales!F:F,Sales!D:D,A359))</f>
        <v/>
      </c>
      <c r="E359">
        <f>IF(A359="","",C359-D359)</f>
        <v/>
      </c>
      <c r="F359" s="3">
        <f>IF(A359="","",IF(D359=0,"",_xlfn.MAXIFS(Sales!C:C,Sales!D:D,A359)))</f>
        <v/>
      </c>
      <c r="G359">
        <f>IF(A359="","",IF(F359="","",TODAY()-F359))</f>
        <v/>
      </c>
      <c r="H359">
        <f>IF(A359="","",IF(E359&lt;=0,"Out of stock",IF(E359&lt;=5,"Low stock",IF(AND(G359&lt;&gt;"",G359&gt;=30),"Slow moving","OK"))))</f>
        <v/>
      </c>
    </row>
    <row r="360">
      <c r="A360">
        <f>IF(Products!A360="","",Products!A360)</f>
        <v/>
      </c>
      <c r="B360">
        <f>IF(A360="","",Products!C360)</f>
        <v/>
      </c>
      <c r="C360">
        <f>IF(A360="","",SUMIFS(Lots!F:F,Lots!B:B,A360))</f>
        <v/>
      </c>
      <c r="D360">
        <f>IF(A360="","",SUMIFS(Sales!F:F,Sales!D:D,A360))</f>
        <v/>
      </c>
      <c r="E360">
        <f>IF(A360="","",C360-D360)</f>
        <v/>
      </c>
      <c r="F360" s="3">
        <f>IF(A360="","",IF(D360=0,"",_xlfn.MAXIFS(Sales!C:C,Sales!D:D,A360)))</f>
        <v/>
      </c>
      <c r="G360">
        <f>IF(A360="","",IF(F360="","",TODAY()-F360))</f>
        <v/>
      </c>
      <c r="H360">
        <f>IF(A360="","",IF(E360&lt;=0,"Out of stock",IF(E360&lt;=5,"Low stock",IF(AND(G360&lt;&gt;"",G360&gt;=30),"Slow moving","OK"))))</f>
        <v/>
      </c>
    </row>
    <row r="361">
      <c r="A361">
        <f>IF(Products!A361="","",Products!A361)</f>
        <v/>
      </c>
      <c r="B361">
        <f>IF(A361="","",Products!C361)</f>
        <v/>
      </c>
      <c r="C361">
        <f>IF(A361="","",SUMIFS(Lots!F:F,Lots!B:B,A361))</f>
        <v/>
      </c>
      <c r="D361">
        <f>IF(A361="","",SUMIFS(Sales!F:F,Sales!D:D,A361))</f>
        <v/>
      </c>
      <c r="E361">
        <f>IF(A361="","",C361-D361)</f>
        <v/>
      </c>
      <c r="F361" s="3">
        <f>IF(A361="","",IF(D361=0,"",_xlfn.MAXIFS(Sales!C:C,Sales!D:D,A361)))</f>
        <v/>
      </c>
      <c r="G361">
        <f>IF(A361="","",IF(F361="","",TODAY()-F361))</f>
        <v/>
      </c>
      <c r="H361">
        <f>IF(A361="","",IF(E361&lt;=0,"Out of stock",IF(E361&lt;=5,"Low stock",IF(AND(G361&lt;&gt;"",G361&gt;=30),"Slow moving","OK"))))</f>
        <v/>
      </c>
    </row>
    <row r="362">
      <c r="A362">
        <f>IF(Products!A362="","",Products!A362)</f>
        <v/>
      </c>
      <c r="B362">
        <f>IF(A362="","",Products!C362)</f>
        <v/>
      </c>
      <c r="C362">
        <f>IF(A362="","",SUMIFS(Lots!F:F,Lots!B:B,A362))</f>
        <v/>
      </c>
      <c r="D362">
        <f>IF(A362="","",SUMIFS(Sales!F:F,Sales!D:D,A362))</f>
        <v/>
      </c>
      <c r="E362">
        <f>IF(A362="","",C362-D362)</f>
        <v/>
      </c>
      <c r="F362" s="3">
        <f>IF(A362="","",IF(D362=0,"",_xlfn.MAXIFS(Sales!C:C,Sales!D:D,A362)))</f>
        <v/>
      </c>
      <c r="G362">
        <f>IF(A362="","",IF(F362="","",TODAY()-F362))</f>
        <v/>
      </c>
      <c r="H362">
        <f>IF(A362="","",IF(E362&lt;=0,"Out of stock",IF(E362&lt;=5,"Low stock",IF(AND(G362&lt;&gt;"",G362&gt;=30),"Slow moving","OK"))))</f>
        <v/>
      </c>
    </row>
    <row r="363">
      <c r="A363">
        <f>IF(Products!A363="","",Products!A363)</f>
        <v/>
      </c>
      <c r="B363">
        <f>IF(A363="","",Products!C363)</f>
        <v/>
      </c>
      <c r="C363">
        <f>IF(A363="","",SUMIFS(Lots!F:F,Lots!B:B,A363))</f>
        <v/>
      </c>
      <c r="D363">
        <f>IF(A363="","",SUMIFS(Sales!F:F,Sales!D:D,A363))</f>
        <v/>
      </c>
      <c r="E363">
        <f>IF(A363="","",C363-D363)</f>
        <v/>
      </c>
      <c r="F363" s="3">
        <f>IF(A363="","",IF(D363=0,"",_xlfn.MAXIFS(Sales!C:C,Sales!D:D,A363)))</f>
        <v/>
      </c>
      <c r="G363">
        <f>IF(A363="","",IF(F363="","",TODAY()-F363))</f>
        <v/>
      </c>
      <c r="H363">
        <f>IF(A363="","",IF(E363&lt;=0,"Out of stock",IF(E363&lt;=5,"Low stock",IF(AND(G363&lt;&gt;"",G363&gt;=30),"Slow moving","OK"))))</f>
        <v/>
      </c>
    </row>
    <row r="364">
      <c r="A364">
        <f>IF(Products!A364="","",Products!A364)</f>
        <v/>
      </c>
      <c r="B364">
        <f>IF(A364="","",Products!C364)</f>
        <v/>
      </c>
      <c r="C364">
        <f>IF(A364="","",SUMIFS(Lots!F:F,Lots!B:B,A364))</f>
        <v/>
      </c>
      <c r="D364">
        <f>IF(A364="","",SUMIFS(Sales!F:F,Sales!D:D,A364))</f>
        <v/>
      </c>
      <c r="E364">
        <f>IF(A364="","",C364-D364)</f>
        <v/>
      </c>
      <c r="F364" s="3">
        <f>IF(A364="","",IF(D364=0,"",_xlfn.MAXIFS(Sales!C:C,Sales!D:D,A364)))</f>
        <v/>
      </c>
      <c r="G364">
        <f>IF(A364="","",IF(F364="","",TODAY()-F364))</f>
        <v/>
      </c>
      <c r="H364">
        <f>IF(A364="","",IF(E364&lt;=0,"Out of stock",IF(E364&lt;=5,"Low stock",IF(AND(G364&lt;&gt;"",G364&gt;=30),"Slow moving","OK"))))</f>
        <v/>
      </c>
    </row>
    <row r="365">
      <c r="A365">
        <f>IF(Products!A365="","",Products!A365)</f>
        <v/>
      </c>
      <c r="B365">
        <f>IF(A365="","",Products!C365)</f>
        <v/>
      </c>
      <c r="C365">
        <f>IF(A365="","",SUMIFS(Lots!F:F,Lots!B:B,A365))</f>
        <v/>
      </c>
      <c r="D365">
        <f>IF(A365="","",SUMIFS(Sales!F:F,Sales!D:D,A365))</f>
        <v/>
      </c>
      <c r="E365">
        <f>IF(A365="","",C365-D365)</f>
        <v/>
      </c>
      <c r="F365" s="3">
        <f>IF(A365="","",IF(D365=0,"",_xlfn.MAXIFS(Sales!C:C,Sales!D:D,A365)))</f>
        <v/>
      </c>
      <c r="G365">
        <f>IF(A365="","",IF(F365="","",TODAY()-F365))</f>
        <v/>
      </c>
      <c r="H365">
        <f>IF(A365="","",IF(E365&lt;=0,"Out of stock",IF(E365&lt;=5,"Low stock",IF(AND(G365&lt;&gt;"",G365&gt;=30),"Slow moving","OK"))))</f>
        <v/>
      </c>
    </row>
    <row r="366">
      <c r="A366">
        <f>IF(Products!A366="","",Products!A366)</f>
        <v/>
      </c>
      <c r="B366">
        <f>IF(A366="","",Products!C366)</f>
        <v/>
      </c>
      <c r="C366">
        <f>IF(A366="","",SUMIFS(Lots!F:F,Lots!B:B,A366))</f>
        <v/>
      </c>
      <c r="D366">
        <f>IF(A366="","",SUMIFS(Sales!F:F,Sales!D:D,A366))</f>
        <v/>
      </c>
      <c r="E366">
        <f>IF(A366="","",C366-D366)</f>
        <v/>
      </c>
      <c r="F366" s="3">
        <f>IF(A366="","",IF(D366=0,"",_xlfn.MAXIFS(Sales!C:C,Sales!D:D,A366)))</f>
        <v/>
      </c>
      <c r="G366">
        <f>IF(A366="","",IF(F366="","",TODAY()-F366))</f>
        <v/>
      </c>
      <c r="H366">
        <f>IF(A366="","",IF(E366&lt;=0,"Out of stock",IF(E366&lt;=5,"Low stock",IF(AND(G366&lt;&gt;"",G366&gt;=30),"Slow moving","OK"))))</f>
        <v/>
      </c>
    </row>
    <row r="367">
      <c r="A367">
        <f>IF(Products!A367="","",Products!A367)</f>
        <v/>
      </c>
      <c r="B367">
        <f>IF(A367="","",Products!C367)</f>
        <v/>
      </c>
      <c r="C367">
        <f>IF(A367="","",SUMIFS(Lots!F:F,Lots!B:B,A367))</f>
        <v/>
      </c>
      <c r="D367">
        <f>IF(A367="","",SUMIFS(Sales!F:F,Sales!D:D,A367))</f>
        <v/>
      </c>
      <c r="E367">
        <f>IF(A367="","",C367-D367)</f>
        <v/>
      </c>
      <c r="F367" s="3">
        <f>IF(A367="","",IF(D367=0,"",_xlfn.MAXIFS(Sales!C:C,Sales!D:D,A367)))</f>
        <v/>
      </c>
      <c r="G367">
        <f>IF(A367="","",IF(F367="","",TODAY()-F367))</f>
        <v/>
      </c>
      <c r="H367">
        <f>IF(A367="","",IF(E367&lt;=0,"Out of stock",IF(E367&lt;=5,"Low stock",IF(AND(G367&lt;&gt;"",G367&gt;=30),"Slow moving","OK"))))</f>
        <v/>
      </c>
    </row>
    <row r="368">
      <c r="A368">
        <f>IF(Products!A368="","",Products!A368)</f>
        <v/>
      </c>
      <c r="B368">
        <f>IF(A368="","",Products!C368)</f>
        <v/>
      </c>
      <c r="C368">
        <f>IF(A368="","",SUMIFS(Lots!F:F,Lots!B:B,A368))</f>
        <v/>
      </c>
      <c r="D368">
        <f>IF(A368="","",SUMIFS(Sales!F:F,Sales!D:D,A368))</f>
        <v/>
      </c>
      <c r="E368">
        <f>IF(A368="","",C368-D368)</f>
        <v/>
      </c>
      <c r="F368" s="3">
        <f>IF(A368="","",IF(D368=0,"",_xlfn.MAXIFS(Sales!C:C,Sales!D:D,A368)))</f>
        <v/>
      </c>
      <c r="G368">
        <f>IF(A368="","",IF(F368="","",TODAY()-F368))</f>
        <v/>
      </c>
      <c r="H368">
        <f>IF(A368="","",IF(E368&lt;=0,"Out of stock",IF(E368&lt;=5,"Low stock",IF(AND(G368&lt;&gt;"",G368&gt;=30),"Slow moving","OK"))))</f>
        <v/>
      </c>
    </row>
    <row r="369">
      <c r="A369">
        <f>IF(Products!A369="","",Products!A369)</f>
        <v/>
      </c>
      <c r="B369">
        <f>IF(A369="","",Products!C369)</f>
        <v/>
      </c>
      <c r="C369">
        <f>IF(A369="","",SUMIFS(Lots!F:F,Lots!B:B,A369))</f>
        <v/>
      </c>
      <c r="D369">
        <f>IF(A369="","",SUMIFS(Sales!F:F,Sales!D:D,A369))</f>
        <v/>
      </c>
      <c r="E369">
        <f>IF(A369="","",C369-D369)</f>
        <v/>
      </c>
      <c r="F369" s="3">
        <f>IF(A369="","",IF(D369=0,"",_xlfn.MAXIFS(Sales!C:C,Sales!D:D,A369)))</f>
        <v/>
      </c>
      <c r="G369">
        <f>IF(A369="","",IF(F369="","",TODAY()-F369))</f>
        <v/>
      </c>
      <c r="H369">
        <f>IF(A369="","",IF(E369&lt;=0,"Out of stock",IF(E369&lt;=5,"Low stock",IF(AND(G369&lt;&gt;"",G369&gt;=30),"Slow moving","OK"))))</f>
        <v/>
      </c>
    </row>
    <row r="370">
      <c r="A370">
        <f>IF(Products!A370="","",Products!A370)</f>
        <v/>
      </c>
      <c r="B370">
        <f>IF(A370="","",Products!C370)</f>
        <v/>
      </c>
      <c r="C370">
        <f>IF(A370="","",SUMIFS(Lots!F:F,Lots!B:B,A370))</f>
        <v/>
      </c>
      <c r="D370">
        <f>IF(A370="","",SUMIFS(Sales!F:F,Sales!D:D,A370))</f>
        <v/>
      </c>
      <c r="E370">
        <f>IF(A370="","",C370-D370)</f>
        <v/>
      </c>
      <c r="F370" s="3">
        <f>IF(A370="","",IF(D370=0,"",_xlfn.MAXIFS(Sales!C:C,Sales!D:D,A370)))</f>
        <v/>
      </c>
      <c r="G370">
        <f>IF(A370="","",IF(F370="","",TODAY()-F370))</f>
        <v/>
      </c>
      <c r="H370">
        <f>IF(A370="","",IF(E370&lt;=0,"Out of stock",IF(E370&lt;=5,"Low stock",IF(AND(G370&lt;&gt;"",G370&gt;=30),"Slow moving","OK"))))</f>
        <v/>
      </c>
    </row>
    <row r="371">
      <c r="A371">
        <f>IF(Products!A371="","",Products!A371)</f>
        <v/>
      </c>
      <c r="B371">
        <f>IF(A371="","",Products!C371)</f>
        <v/>
      </c>
      <c r="C371">
        <f>IF(A371="","",SUMIFS(Lots!F:F,Lots!B:B,A371))</f>
        <v/>
      </c>
      <c r="D371">
        <f>IF(A371="","",SUMIFS(Sales!F:F,Sales!D:D,A371))</f>
        <v/>
      </c>
      <c r="E371">
        <f>IF(A371="","",C371-D371)</f>
        <v/>
      </c>
      <c r="F371" s="3">
        <f>IF(A371="","",IF(D371=0,"",_xlfn.MAXIFS(Sales!C:C,Sales!D:D,A371)))</f>
        <v/>
      </c>
      <c r="G371">
        <f>IF(A371="","",IF(F371="","",TODAY()-F371))</f>
        <v/>
      </c>
      <c r="H371">
        <f>IF(A371="","",IF(E371&lt;=0,"Out of stock",IF(E371&lt;=5,"Low stock",IF(AND(G371&lt;&gt;"",G371&gt;=30),"Slow moving","OK"))))</f>
        <v/>
      </c>
    </row>
    <row r="372">
      <c r="A372">
        <f>IF(Products!A372="","",Products!A372)</f>
        <v/>
      </c>
      <c r="B372">
        <f>IF(A372="","",Products!C372)</f>
        <v/>
      </c>
      <c r="C372">
        <f>IF(A372="","",SUMIFS(Lots!F:F,Lots!B:B,A372))</f>
        <v/>
      </c>
      <c r="D372">
        <f>IF(A372="","",SUMIFS(Sales!F:F,Sales!D:D,A372))</f>
        <v/>
      </c>
      <c r="E372">
        <f>IF(A372="","",C372-D372)</f>
        <v/>
      </c>
      <c r="F372" s="3">
        <f>IF(A372="","",IF(D372=0,"",_xlfn.MAXIFS(Sales!C:C,Sales!D:D,A372)))</f>
        <v/>
      </c>
      <c r="G372">
        <f>IF(A372="","",IF(F372="","",TODAY()-F372))</f>
        <v/>
      </c>
      <c r="H372">
        <f>IF(A372="","",IF(E372&lt;=0,"Out of stock",IF(E372&lt;=5,"Low stock",IF(AND(G372&lt;&gt;"",G372&gt;=30),"Slow moving","OK"))))</f>
        <v/>
      </c>
    </row>
    <row r="373">
      <c r="A373">
        <f>IF(Products!A373="","",Products!A373)</f>
        <v/>
      </c>
      <c r="B373">
        <f>IF(A373="","",Products!C373)</f>
        <v/>
      </c>
      <c r="C373">
        <f>IF(A373="","",SUMIFS(Lots!F:F,Lots!B:B,A373))</f>
        <v/>
      </c>
      <c r="D373">
        <f>IF(A373="","",SUMIFS(Sales!F:F,Sales!D:D,A373))</f>
        <v/>
      </c>
      <c r="E373">
        <f>IF(A373="","",C373-D373)</f>
        <v/>
      </c>
      <c r="F373" s="3">
        <f>IF(A373="","",IF(D373=0,"",_xlfn.MAXIFS(Sales!C:C,Sales!D:D,A373)))</f>
        <v/>
      </c>
      <c r="G373">
        <f>IF(A373="","",IF(F373="","",TODAY()-F373))</f>
        <v/>
      </c>
      <c r="H373">
        <f>IF(A373="","",IF(E373&lt;=0,"Out of stock",IF(E373&lt;=5,"Low stock",IF(AND(G373&lt;&gt;"",G373&gt;=30),"Slow moving","OK"))))</f>
        <v/>
      </c>
    </row>
    <row r="374">
      <c r="A374">
        <f>IF(Products!A374="","",Products!A374)</f>
        <v/>
      </c>
      <c r="B374">
        <f>IF(A374="","",Products!C374)</f>
        <v/>
      </c>
      <c r="C374">
        <f>IF(A374="","",SUMIFS(Lots!F:F,Lots!B:B,A374))</f>
        <v/>
      </c>
      <c r="D374">
        <f>IF(A374="","",SUMIFS(Sales!F:F,Sales!D:D,A374))</f>
        <v/>
      </c>
      <c r="E374">
        <f>IF(A374="","",C374-D374)</f>
        <v/>
      </c>
      <c r="F374" s="3">
        <f>IF(A374="","",IF(D374=0,"",_xlfn.MAXIFS(Sales!C:C,Sales!D:D,A374)))</f>
        <v/>
      </c>
      <c r="G374">
        <f>IF(A374="","",IF(F374="","",TODAY()-F374))</f>
        <v/>
      </c>
      <c r="H374">
        <f>IF(A374="","",IF(E374&lt;=0,"Out of stock",IF(E374&lt;=5,"Low stock",IF(AND(G374&lt;&gt;"",G374&gt;=30),"Slow moving","OK"))))</f>
        <v/>
      </c>
    </row>
    <row r="375">
      <c r="A375">
        <f>IF(Products!A375="","",Products!A375)</f>
        <v/>
      </c>
      <c r="B375">
        <f>IF(A375="","",Products!C375)</f>
        <v/>
      </c>
      <c r="C375">
        <f>IF(A375="","",SUMIFS(Lots!F:F,Lots!B:B,A375))</f>
        <v/>
      </c>
      <c r="D375">
        <f>IF(A375="","",SUMIFS(Sales!F:F,Sales!D:D,A375))</f>
        <v/>
      </c>
      <c r="E375">
        <f>IF(A375="","",C375-D375)</f>
        <v/>
      </c>
      <c r="F375" s="3">
        <f>IF(A375="","",IF(D375=0,"",_xlfn.MAXIFS(Sales!C:C,Sales!D:D,A375)))</f>
        <v/>
      </c>
      <c r="G375">
        <f>IF(A375="","",IF(F375="","",TODAY()-F375))</f>
        <v/>
      </c>
      <c r="H375">
        <f>IF(A375="","",IF(E375&lt;=0,"Out of stock",IF(E375&lt;=5,"Low stock",IF(AND(G375&lt;&gt;"",G375&gt;=30),"Slow moving","OK"))))</f>
        <v/>
      </c>
    </row>
    <row r="376">
      <c r="A376">
        <f>IF(Products!A376="","",Products!A376)</f>
        <v/>
      </c>
      <c r="B376">
        <f>IF(A376="","",Products!C376)</f>
        <v/>
      </c>
      <c r="C376">
        <f>IF(A376="","",SUMIFS(Lots!F:F,Lots!B:B,A376))</f>
        <v/>
      </c>
      <c r="D376">
        <f>IF(A376="","",SUMIFS(Sales!F:F,Sales!D:D,A376))</f>
        <v/>
      </c>
      <c r="E376">
        <f>IF(A376="","",C376-D376)</f>
        <v/>
      </c>
      <c r="F376" s="3">
        <f>IF(A376="","",IF(D376=0,"",_xlfn.MAXIFS(Sales!C:C,Sales!D:D,A376)))</f>
        <v/>
      </c>
      <c r="G376">
        <f>IF(A376="","",IF(F376="","",TODAY()-F376))</f>
        <v/>
      </c>
      <c r="H376">
        <f>IF(A376="","",IF(E376&lt;=0,"Out of stock",IF(E376&lt;=5,"Low stock",IF(AND(G376&lt;&gt;"",G376&gt;=30),"Slow moving","OK"))))</f>
        <v/>
      </c>
    </row>
    <row r="377">
      <c r="A377">
        <f>IF(Products!A377="","",Products!A377)</f>
        <v/>
      </c>
      <c r="B377">
        <f>IF(A377="","",Products!C377)</f>
        <v/>
      </c>
      <c r="C377">
        <f>IF(A377="","",SUMIFS(Lots!F:F,Lots!B:B,A377))</f>
        <v/>
      </c>
      <c r="D377">
        <f>IF(A377="","",SUMIFS(Sales!F:F,Sales!D:D,A377))</f>
        <v/>
      </c>
      <c r="E377">
        <f>IF(A377="","",C377-D377)</f>
        <v/>
      </c>
      <c r="F377" s="3">
        <f>IF(A377="","",IF(D377=0,"",_xlfn.MAXIFS(Sales!C:C,Sales!D:D,A377)))</f>
        <v/>
      </c>
      <c r="G377">
        <f>IF(A377="","",IF(F377="","",TODAY()-F377))</f>
        <v/>
      </c>
      <c r="H377">
        <f>IF(A377="","",IF(E377&lt;=0,"Out of stock",IF(E377&lt;=5,"Low stock",IF(AND(G377&lt;&gt;"",G377&gt;=30),"Slow moving","OK"))))</f>
        <v/>
      </c>
    </row>
    <row r="378">
      <c r="A378">
        <f>IF(Products!A378="","",Products!A378)</f>
        <v/>
      </c>
      <c r="B378">
        <f>IF(A378="","",Products!C378)</f>
        <v/>
      </c>
      <c r="C378">
        <f>IF(A378="","",SUMIFS(Lots!F:F,Lots!B:B,A378))</f>
        <v/>
      </c>
      <c r="D378">
        <f>IF(A378="","",SUMIFS(Sales!F:F,Sales!D:D,A378))</f>
        <v/>
      </c>
      <c r="E378">
        <f>IF(A378="","",C378-D378)</f>
        <v/>
      </c>
      <c r="F378" s="3">
        <f>IF(A378="","",IF(D378=0,"",_xlfn.MAXIFS(Sales!C:C,Sales!D:D,A378)))</f>
        <v/>
      </c>
      <c r="G378">
        <f>IF(A378="","",IF(F378="","",TODAY()-F378))</f>
        <v/>
      </c>
      <c r="H378">
        <f>IF(A378="","",IF(E378&lt;=0,"Out of stock",IF(E378&lt;=5,"Low stock",IF(AND(G378&lt;&gt;"",G378&gt;=30),"Slow moving","OK"))))</f>
        <v/>
      </c>
    </row>
    <row r="379">
      <c r="A379">
        <f>IF(Products!A379="","",Products!A379)</f>
        <v/>
      </c>
      <c r="B379">
        <f>IF(A379="","",Products!C379)</f>
        <v/>
      </c>
      <c r="C379">
        <f>IF(A379="","",SUMIFS(Lots!F:F,Lots!B:B,A379))</f>
        <v/>
      </c>
      <c r="D379">
        <f>IF(A379="","",SUMIFS(Sales!F:F,Sales!D:D,A379))</f>
        <v/>
      </c>
      <c r="E379">
        <f>IF(A379="","",C379-D379)</f>
        <v/>
      </c>
      <c r="F379" s="3">
        <f>IF(A379="","",IF(D379=0,"",_xlfn.MAXIFS(Sales!C:C,Sales!D:D,A379)))</f>
        <v/>
      </c>
      <c r="G379">
        <f>IF(A379="","",IF(F379="","",TODAY()-F379))</f>
        <v/>
      </c>
      <c r="H379">
        <f>IF(A379="","",IF(E379&lt;=0,"Out of stock",IF(E379&lt;=5,"Low stock",IF(AND(G379&lt;&gt;"",G379&gt;=30),"Slow moving","OK"))))</f>
        <v/>
      </c>
    </row>
    <row r="380">
      <c r="A380">
        <f>IF(Products!A380="","",Products!A380)</f>
        <v/>
      </c>
      <c r="B380">
        <f>IF(A380="","",Products!C380)</f>
        <v/>
      </c>
      <c r="C380">
        <f>IF(A380="","",SUMIFS(Lots!F:F,Lots!B:B,A380))</f>
        <v/>
      </c>
      <c r="D380">
        <f>IF(A380="","",SUMIFS(Sales!F:F,Sales!D:D,A380))</f>
        <v/>
      </c>
      <c r="E380">
        <f>IF(A380="","",C380-D380)</f>
        <v/>
      </c>
      <c r="F380" s="3">
        <f>IF(A380="","",IF(D380=0,"",_xlfn.MAXIFS(Sales!C:C,Sales!D:D,A380)))</f>
        <v/>
      </c>
      <c r="G380">
        <f>IF(A380="","",IF(F380="","",TODAY()-F380))</f>
        <v/>
      </c>
      <c r="H380">
        <f>IF(A380="","",IF(E380&lt;=0,"Out of stock",IF(E380&lt;=5,"Low stock",IF(AND(G380&lt;&gt;"",G380&gt;=30),"Slow moving","OK"))))</f>
        <v/>
      </c>
    </row>
    <row r="381">
      <c r="A381">
        <f>IF(Products!A381="","",Products!A381)</f>
        <v/>
      </c>
      <c r="B381">
        <f>IF(A381="","",Products!C381)</f>
        <v/>
      </c>
      <c r="C381">
        <f>IF(A381="","",SUMIFS(Lots!F:F,Lots!B:B,A381))</f>
        <v/>
      </c>
      <c r="D381">
        <f>IF(A381="","",SUMIFS(Sales!F:F,Sales!D:D,A381))</f>
        <v/>
      </c>
      <c r="E381">
        <f>IF(A381="","",C381-D381)</f>
        <v/>
      </c>
      <c r="F381" s="3">
        <f>IF(A381="","",IF(D381=0,"",_xlfn.MAXIFS(Sales!C:C,Sales!D:D,A381)))</f>
        <v/>
      </c>
      <c r="G381">
        <f>IF(A381="","",IF(F381="","",TODAY()-F381))</f>
        <v/>
      </c>
      <c r="H381">
        <f>IF(A381="","",IF(E381&lt;=0,"Out of stock",IF(E381&lt;=5,"Low stock",IF(AND(G381&lt;&gt;"",G381&gt;=30),"Slow moving","OK"))))</f>
        <v/>
      </c>
    </row>
    <row r="382">
      <c r="A382">
        <f>IF(Products!A382="","",Products!A382)</f>
        <v/>
      </c>
      <c r="B382">
        <f>IF(A382="","",Products!C382)</f>
        <v/>
      </c>
      <c r="C382">
        <f>IF(A382="","",SUMIFS(Lots!F:F,Lots!B:B,A382))</f>
        <v/>
      </c>
      <c r="D382">
        <f>IF(A382="","",SUMIFS(Sales!F:F,Sales!D:D,A382))</f>
        <v/>
      </c>
      <c r="E382">
        <f>IF(A382="","",C382-D382)</f>
        <v/>
      </c>
      <c r="F382" s="3">
        <f>IF(A382="","",IF(D382=0,"",_xlfn.MAXIFS(Sales!C:C,Sales!D:D,A382)))</f>
        <v/>
      </c>
      <c r="G382">
        <f>IF(A382="","",IF(F382="","",TODAY()-F382))</f>
        <v/>
      </c>
      <c r="H382">
        <f>IF(A382="","",IF(E382&lt;=0,"Out of stock",IF(E382&lt;=5,"Low stock",IF(AND(G382&lt;&gt;"",G382&gt;=30),"Slow moving","OK"))))</f>
        <v/>
      </c>
    </row>
    <row r="383">
      <c r="A383">
        <f>IF(Products!A383="","",Products!A383)</f>
        <v/>
      </c>
      <c r="B383">
        <f>IF(A383="","",Products!C383)</f>
        <v/>
      </c>
      <c r="C383">
        <f>IF(A383="","",SUMIFS(Lots!F:F,Lots!B:B,A383))</f>
        <v/>
      </c>
      <c r="D383">
        <f>IF(A383="","",SUMIFS(Sales!F:F,Sales!D:D,A383))</f>
        <v/>
      </c>
      <c r="E383">
        <f>IF(A383="","",C383-D383)</f>
        <v/>
      </c>
      <c r="F383" s="3">
        <f>IF(A383="","",IF(D383=0,"",_xlfn.MAXIFS(Sales!C:C,Sales!D:D,A383)))</f>
        <v/>
      </c>
      <c r="G383">
        <f>IF(A383="","",IF(F383="","",TODAY()-F383))</f>
        <v/>
      </c>
      <c r="H383">
        <f>IF(A383="","",IF(E383&lt;=0,"Out of stock",IF(E383&lt;=5,"Low stock",IF(AND(G383&lt;&gt;"",G383&gt;=30),"Slow moving","OK"))))</f>
        <v/>
      </c>
    </row>
    <row r="384">
      <c r="A384">
        <f>IF(Products!A384="","",Products!A384)</f>
        <v/>
      </c>
      <c r="B384">
        <f>IF(A384="","",Products!C384)</f>
        <v/>
      </c>
      <c r="C384">
        <f>IF(A384="","",SUMIFS(Lots!F:F,Lots!B:B,A384))</f>
        <v/>
      </c>
      <c r="D384">
        <f>IF(A384="","",SUMIFS(Sales!F:F,Sales!D:D,A384))</f>
        <v/>
      </c>
      <c r="E384">
        <f>IF(A384="","",C384-D384)</f>
        <v/>
      </c>
      <c r="F384" s="3">
        <f>IF(A384="","",IF(D384=0,"",_xlfn.MAXIFS(Sales!C:C,Sales!D:D,A384)))</f>
        <v/>
      </c>
      <c r="G384">
        <f>IF(A384="","",IF(F384="","",TODAY()-F384))</f>
        <v/>
      </c>
      <c r="H384">
        <f>IF(A384="","",IF(E384&lt;=0,"Out of stock",IF(E384&lt;=5,"Low stock",IF(AND(G384&lt;&gt;"",G384&gt;=30),"Slow moving","OK"))))</f>
        <v/>
      </c>
    </row>
    <row r="385">
      <c r="A385">
        <f>IF(Products!A385="","",Products!A385)</f>
        <v/>
      </c>
      <c r="B385">
        <f>IF(A385="","",Products!C385)</f>
        <v/>
      </c>
      <c r="C385">
        <f>IF(A385="","",SUMIFS(Lots!F:F,Lots!B:B,A385))</f>
        <v/>
      </c>
      <c r="D385">
        <f>IF(A385="","",SUMIFS(Sales!F:F,Sales!D:D,A385))</f>
        <v/>
      </c>
      <c r="E385">
        <f>IF(A385="","",C385-D385)</f>
        <v/>
      </c>
      <c r="F385" s="3">
        <f>IF(A385="","",IF(D385=0,"",_xlfn.MAXIFS(Sales!C:C,Sales!D:D,A385)))</f>
        <v/>
      </c>
      <c r="G385">
        <f>IF(A385="","",IF(F385="","",TODAY()-F385))</f>
        <v/>
      </c>
      <c r="H385">
        <f>IF(A385="","",IF(E385&lt;=0,"Out of stock",IF(E385&lt;=5,"Low stock",IF(AND(G385&lt;&gt;"",G385&gt;=30),"Slow moving","OK"))))</f>
        <v/>
      </c>
    </row>
    <row r="386">
      <c r="A386">
        <f>IF(Products!A386="","",Products!A386)</f>
        <v/>
      </c>
      <c r="B386">
        <f>IF(A386="","",Products!C386)</f>
        <v/>
      </c>
      <c r="C386">
        <f>IF(A386="","",SUMIFS(Lots!F:F,Lots!B:B,A386))</f>
        <v/>
      </c>
      <c r="D386">
        <f>IF(A386="","",SUMIFS(Sales!F:F,Sales!D:D,A386))</f>
        <v/>
      </c>
      <c r="E386">
        <f>IF(A386="","",C386-D386)</f>
        <v/>
      </c>
      <c r="F386" s="3">
        <f>IF(A386="","",IF(D386=0,"",_xlfn.MAXIFS(Sales!C:C,Sales!D:D,A386)))</f>
        <v/>
      </c>
      <c r="G386">
        <f>IF(A386="","",IF(F386="","",TODAY()-F386))</f>
        <v/>
      </c>
      <c r="H386">
        <f>IF(A386="","",IF(E386&lt;=0,"Out of stock",IF(E386&lt;=5,"Low stock",IF(AND(G386&lt;&gt;"",G386&gt;=30),"Slow moving","OK"))))</f>
        <v/>
      </c>
    </row>
    <row r="387">
      <c r="A387">
        <f>IF(Products!A387="","",Products!A387)</f>
        <v/>
      </c>
      <c r="B387">
        <f>IF(A387="","",Products!C387)</f>
        <v/>
      </c>
      <c r="C387">
        <f>IF(A387="","",SUMIFS(Lots!F:F,Lots!B:B,A387))</f>
        <v/>
      </c>
      <c r="D387">
        <f>IF(A387="","",SUMIFS(Sales!F:F,Sales!D:D,A387))</f>
        <v/>
      </c>
      <c r="E387">
        <f>IF(A387="","",C387-D387)</f>
        <v/>
      </c>
      <c r="F387" s="3">
        <f>IF(A387="","",IF(D387=0,"",_xlfn.MAXIFS(Sales!C:C,Sales!D:D,A387)))</f>
        <v/>
      </c>
      <c r="G387">
        <f>IF(A387="","",IF(F387="","",TODAY()-F387))</f>
        <v/>
      </c>
      <c r="H387">
        <f>IF(A387="","",IF(E387&lt;=0,"Out of stock",IF(E387&lt;=5,"Low stock",IF(AND(G387&lt;&gt;"",G387&gt;=30),"Slow moving","OK"))))</f>
        <v/>
      </c>
    </row>
    <row r="388">
      <c r="A388">
        <f>IF(Products!A388="","",Products!A388)</f>
        <v/>
      </c>
      <c r="B388">
        <f>IF(A388="","",Products!C388)</f>
        <v/>
      </c>
      <c r="C388">
        <f>IF(A388="","",SUMIFS(Lots!F:F,Lots!B:B,A388))</f>
        <v/>
      </c>
      <c r="D388">
        <f>IF(A388="","",SUMIFS(Sales!F:F,Sales!D:D,A388))</f>
        <v/>
      </c>
      <c r="E388">
        <f>IF(A388="","",C388-D388)</f>
        <v/>
      </c>
      <c r="F388" s="3">
        <f>IF(A388="","",IF(D388=0,"",_xlfn.MAXIFS(Sales!C:C,Sales!D:D,A388)))</f>
        <v/>
      </c>
      <c r="G388">
        <f>IF(A388="","",IF(F388="","",TODAY()-F388))</f>
        <v/>
      </c>
      <c r="H388">
        <f>IF(A388="","",IF(E388&lt;=0,"Out of stock",IF(E388&lt;=5,"Low stock",IF(AND(G388&lt;&gt;"",G388&gt;=30),"Slow moving","OK"))))</f>
        <v/>
      </c>
    </row>
    <row r="389">
      <c r="A389">
        <f>IF(Products!A389="","",Products!A389)</f>
        <v/>
      </c>
      <c r="B389">
        <f>IF(A389="","",Products!C389)</f>
        <v/>
      </c>
      <c r="C389">
        <f>IF(A389="","",SUMIFS(Lots!F:F,Lots!B:B,A389))</f>
        <v/>
      </c>
      <c r="D389">
        <f>IF(A389="","",SUMIFS(Sales!F:F,Sales!D:D,A389))</f>
        <v/>
      </c>
      <c r="E389">
        <f>IF(A389="","",C389-D389)</f>
        <v/>
      </c>
      <c r="F389" s="3">
        <f>IF(A389="","",IF(D389=0,"",_xlfn.MAXIFS(Sales!C:C,Sales!D:D,A389)))</f>
        <v/>
      </c>
      <c r="G389">
        <f>IF(A389="","",IF(F389="","",TODAY()-F389))</f>
        <v/>
      </c>
      <c r="H389">
        <f>IF(A389="","",IF(E389&lt;=0,"Out of stock",IF(E389&lt;=5,"Low stock",IF(AND(G389&lt;&gt;"",G389&gt;=30),"Slow moving","OK"))))</f>
        <v/>
      </c>
    </row>
    <row r="390">
      <c r="A390">
        <f>IF(Products!A390="","",Products!A390)</f>
        <v/>
      </c>
      <c r="B390">
        <f>IF(A390="","",Products!C390)</f>
        <v/>
      </c>
      <c r="C390">
        <f>IF(A390="","",SUMIFS(Lots!F:F,Lots!B:B,A390))</f>
        <v/>
      </c>
      <c r="D390">
        <f>IF(A390="","",SUMIFS(Sales!F:F,Sales!D:D,A390))</f>
        <v/>
      </c>
      <c r="E390">
        <f>IF(A390="","",C390-D390)</f>
        <v/>
      </c>
      <c r="F390" s="3">
        <f>IF(A390="","",IF(D390=0,"",_xlfn.MAXIFS(Sales!C:C,Sales!D:D,A390)))</f>
        <v/>
      </c>
      <c r="G390">
        <f>IF(A390="","",IF(F390="","",TODAY()-F390))</f>
        <v/>
      </c>
      <c r="H390">
        <f>IF(A390="","",IF(E390&lt;=0,"Out of stock",IF(E390&lt;=5,"Low stock",IF(AND(G390&lt;&gt;"",G390&gt;=30),"Slow moving","OK"))))</f>
        <v/>
      </c>
    </row>
    <row r="391">
      <c r="A391">
        <f>IF(Products!A391="","",Products!A391)</f>
        <v/>
      </c>
      <c r="B391">
        <f>IF(A391="","",Products!C391)</f>
        <v/>
      </c>
      <c r="C391">
        <f>IF(A391="","",SUMIFS(Lots!F:F,Lots!B:B,A391))</f>
        <v/>
      </c>
      <c r="D391">
        <f>IF(A391="","",SUMIFS(Sales!F:F,Sales!D:D,A391))</f>
        <v/>
      </c>
      <c r="E391">
        <f>IF(A391="","",C391-D391)</f>
        <v/>
      </c>
      <c r="F391" s="3">
        <f>IF(A391="","",IF(D391=0,"",_xlfn.MAXIFS(Sales!C:C,Sales!D:D,A391)))</f>
        <v/>
      </c>
      <c r="G391">
        <f>IF(A391="","",IF(F391="","",TODAY()-F391))</f>
        <v/>
      </c>
      <c r="H391">
        <f>IF(A391="","",IF(E391&lt;=0,"Out of stock",IF(E391&lt;=5,"Low stock",IF(AND(G391&lt;&gt;"",G391&gt;=30),"Slow moving","OK"))))</f>
        <v/>
      </c>
    </row>
    <row r="392">
      <c r="A392">
        <f>IF(Products!A392="","",Products!A392)</f>
        <v/>
      </c>
      <c r="B392">
        <f>IF(A392="","",Products!C392)</f>
        <v/>
      </c>
      <c r="C392">
        <f>IF(A392="","",SUMIFS(Lots!F:F,Lots!B:B,A392))</f>
        <v/>
      </c>
      <c r="D392">
        <f>IF(A392="","",SUMIFS(Sales!F:F,Sales!D:D,A392))</f>
        <v/>
      </c>
      <c r="E392">
        <f>IF(A392="","",C392-D392)</f>
        <v/>
      </c>
      <c r="F392" s="3">
        <f>IF(A392="","",IF(D392=0,"",_xlfn.MAXIFS(Sales!C:C,Sales!D:D,A392)))</f>
        <v/>
      </c>
      <c r="G392">
        <f>IF(A392="","",IF(F392="","",TODAY()-F392))</f>
        <v/>
      </c>
      <c r="H392">
        <f>IF(A392="","",IF(E392&lt;=0,"Out of stock",IF(E392&lt;=5,"Low stock",IF(AND(G392&lt;&gt;"",G392&gt;=30),"Slow moving","OK"))))</f>
        <v/>
      </c>
    </row>
    <row r="393">
      <c r="A393">
        <f>IF(Products!A393="","",Products!A393)</f>
        <v/>
      </c>
      <c r="B393">
        <f>IF(A393="","",Products!C393)</f>
        <v/>
      </c>
      <c r="C393">
        <f>IF(A393="","",SUMIFS(Lots!F:F,Lots!B:B,A393))</f>
        <v/>
      </c>
      <c r="D393">
        <f>IF(A393="","",SUMIFS(Sales!F:F,Sales!D:D,A393))</f>
        <v/>
      </c>
      <c r="E393">
        <f>IF(A393="","",C393-D393)</f>
        <v/>
      </c>
      <c r="F393" s="3">
        <f>IF(A393="","",IF(D393=0,"",_xlfn.MAXIFS(Sales!C:C,Sales!D:D,A393)))</f>
        <v/>
      </c>
      <c r="G393">
        <f>IF(A393="","",IF(F393="","",TODAY()-F393))</f>
        <v/>
      </c>
      <c r="H393">
        <f>IF(A393="","",IF(E393&lt;=0,"Out of stock",IF(E393&lt;=5,"Low stock",IF(AND(G393&lt;&gt;"",G393&gt;=30),"Slow moving","OK"))))</f>
        <v/>
      </c>
    </row>
    <row r="394">
      <c r="A394">
        <f>IF(Products!A394="","",Products!A394)</f>
        <v/>
      </c>
      <c r="B394">
        <f>IF(A394="","",Products!C394)</f>
        <v/>
      </c>
      <c r="C394">
        <f>IF(A394="","",SUMIFS(Lots!F:F,Lots!B:B,A394))</f>
        <v/>
      </c>
      <c r="D394">
        <f>IF(A394="","",SUMIFS(Sales!F:F,Sales!D:D,A394))</f>
        <v/>
      </c>
      <c r="E394">
        <f>IF(A394="","",C394-D394)</f>
        <v/>
      </c>
      <c r="F394" s="3">
        <f>IF(A394="","",IF(D394=0,"",_xlfn.MAXIFS(Sales!C:C,Sales!D:D,A394)))</f>
        <v/>
      </c>
      <c r="G394">
        <f>IF(A394="","",IF(F394="","",TODAY()-F394))</f>
        <v/>
      </c>
      <c r="H394">
        <f>IF(A394="","",IF(E394&lt;=0,"Out of stock",IF(E394&lt;=5,"Low stock",IF(AND(G394&lt;&gt;"",G394&gt;=30),"Slow moving","OK"))))</f>
        <v/>
      </c>
    </row>
    <row r="395">
      <c r="A395">
        <f>IF(Products!A395="","",Products!A395)</f>
        <v/>
      </c>
      <c r="B395">
        <f>IF(A395="","",Products!C395)</f>
        <v/>
      </c>
      <c r="C395">
        <f>IF(A395="","",SUMIFS(Lots!F:F,Lots!B:B,A395))</f>
        <v/>
      </c>
      <c r="D395">
        <f>IF(A395="","",SUMIFS(Sales!F:F,Sales!D:D,A395))</f>
        <v/>
      </c>
      <c r="E395">
        <f>IF(A395="","",C395-D395)</f>
        <v/>
      </c>
      <c r="F395" s="3">
        <f>IF(A395="","",IF(D395=0,"",_xlfn.MAXIFS(Sales!C:C,Sales!D:D,A395)))</f>
        <v/>
      </c>
      <c r="G395">
        <f>IF(A395="","",IF(F395="","",TODAY()-F395))</f>
        <v/>
      </c>
      <c r="H395">
        <f>IF(A395="","",IF(E395&lt;=0,"Out of stock",IF(E395&lt;=5,"Low stock",IF(AND(G395&lt;&gt;"",G395&gt;=30),"Slow moving","OK"))))</f>
        <v/>
      </c>
    </row>
    <row r="396">
      <c r="A396">
        <f>IF(Products!A396="","",Products!A396)</f>
        <v/>
      </c>
      <c r="B396">
        <f>IF(A396="","",Products!C396)</f>
        <v/>
      </c>
      <c r="C396">
        <f>IF(A396="","",SUMIFS(Lots!F:F,Lots!B:B,A396))</f>
        <v/>
      </c>
      <c r="D396">
        <f>IF(A396="","",SUMIFS(Sales!F:F,Sales!D:D,A396))</f>
        <v/>
      </c>
      <c r="E396">
        <f>IF(A396="","",C396-D396)</f>
        <v/>
      </c>
      <c r="F396" s="3">
        <f>IF(A396="","",IF(D396=0,"",_xlfn.MAXIFS(Sales!C:C,Sales!D:D,A396)))</f>
        <v/>
      </c>
      <c r="G396">
        <f>IF(A396="","",IF(F396="","",TODAY()-F396))</f>
        <v/>
      </c>
      <c r="H396">
        <f>IF(A396="","",IF(E396&lt;=0,"Out of stock",IF(E396&lt;=5,"Low stock",IF(AND(G396&lt;&gt;"",G396&gt;=30),"Slow moving","OK"))))</f>
        <v/>
      </c>
    </row>
    <row r="397">
      <c r="A397">
        <f>IF(Products!A397="","",Products!A397)</f>
        <v/>
      </c>
      <c r="B397">
        <f>IF(A397="","",Products!C397)</f>
        <v/>
      </c>
      <c r="C397">
        <f>IF(A397="","",SUMIFS(Lots!F:F,Lots!B:B,A397))</f>
        <v/>
      </c>
      <c r="D397">
        <f>IF(A397="","",SUMIFS(Sales!F:F,Sales!D:D,A397))</f>
        <v/>
      </c>
      <c r="E397">
        <f>IF(A397="","",C397-D397)</f>
        <v/>
      </c>
      <c r="F397" s="3">
        <f>IF(A397="","",IF(D397=0,"",_xlfn.MAXIFS(Sales!C:C,Sales!D:D,A397)))</f>
        <v/>
      </c>
      <c r="G397">
        <f>IF(A397="","",IF(F397="","",TODAY()-F397))</f>
        <v/>
      </c>
      <c r="H397">
        <f>IF(A397="","",IF(E397&lt;=0,"Out of stock",IF(E397&lt;=5,"Low stock",IF(AND(G397&lt;&gt;"",G397&gt;=30),"Slow moving","OK"))))</f>
        <v/>
      </c>
    </row>
    <row r="398">
      <c r="A398">
        <f>IF(Products!A398="","",Products!A398)</f>
        <v/>
      </c>
      <c r="B398">
        <f>IF(A398="","",Products!C398)</f>
        <v/>
      </c>
      <c r="C398">
        <f>IF(A398="","",SUMIFS(Lots!F:F,Lots!B:B,A398))</f>
        <v/>
      </c>
      <c r="D398">
        <f>IF(A398="","",SUMIFS(Sales!F:F,Sales!D:D,A398))</f>
        <v/>
      </c>
      <c r="E398">
        <f>IF(A398="","",C398-D398)</f>
        <v/>
      </c>
      <c r="F398" s="3">
        <f>IF(A398="","",IF(D398=0,"",_xlfn.MAXIFS(Sales!C:C,Sales!D:D,A398)))</f>
        <v/>
      </c>
      <c r="G398">
        <f>IF(A398="","",IF(F398="","",TODAY()-F398))</f>
        <v/>
      </c>
      <c r="H398">
        <f>IF(A398="","",IF(E398&lt;=0,"Out of stock",IF(E398&lt;=5,"Low stock",IF(AND(G398&lt;&gt;"",G398&gt;=30),"Slow moving","OK"))))</f>
        <v/>
      </c>
    </row>
    <row r="399">
      <c r="A399">
        <f>IF(Products!A399="","",Products!A399)</f>
        <v/>
      </c>
      <c r="B399">
        <f>IF(A399="","",Products!C399)</f>
        <v/>
      </c>
      <c r="C399">
        <f>IF(A399="","",SUMIFS(Lots!F:F,Lots!B:B,A399))</f>
        <v/>
      </c>
      <c r="D399">
        <f>IF(A399="","",SUMIFS(Sales!F:F,Sales!D:D,A399))</f>
        <v/>
      </c>
      <c r="E399">
        <f>IF(A399="","",C399-D399)</f>
        <v/>
      </c>
      <c r="F399" s="3">
        <f>IF(A399="","",IF(D399=0,"",_xlfn.MAXIFS(Sales!C:C,Sales!D:D,A399)))</f>
        <v/>
      </c>
      <c r="G399">
        <f>IF(A399="","",IF(F399="","",TODAY()-F399))</f>
        <v/>
      </c>
      <c r="H399">
        <f>IF(A399="","",IF(E399&lt;=0,"Out of stock",IF(E399&lt;=5,"Low stock",IF(AND(G399&lt;&gt;"",G399&gt;=30),"Slow moving","OK"))))</f>
        <v/>
      </c>
    </row>
    <row r="400">
      <c r="A400">
        <f>IF(Products!A400="","",Products!A400)</f>
        <v/>
      </c>
      <c r="B400">
        <f>IF(A400="","",Products!C400)</f>
        <v/>
      </c>
      <c r="C400">
        <f>IF(A400="","",SUMIFS(Lots!F:F,Lots!B:B,A400))</f>
        <v/>
      </c>
      <c r="D400">
        <f>IF(A400="","",SUMIFS(Sales!F:F,Sales!D:D,A400))</f>
        <v/>
      </c>
      <c r="E400">
        <f>IF(A400="","",C400-D400)</f>
        <v/>
      </c>
      <c r="F400" s="3">
        <f>IF(A400="","",IF(D400=0,"",_xlfn.MAXIFS(Sales!C:C,Sales!D:D,A400)))</f>
        <v/>
      </c>
      <c r="G400">
        <f>IF(A400="","",IF(F400="","",TODAY()-F400))</f>
        <v/>
      </c>
      <c r="H400">
        <f>IF(A400="","",IF(E400&lt;=0,"Out of stock",IF(E400&lt;=5,"Low stock",IF(AND(G400&lt;&gt;"",G400&gt;=30),"Slow moving","OK"))))</f>
        <v/>
      </c>
    </row>
    <row r="401">
      <c r="A401">
        <f>IF(Products!A401="","",Products!A401)</f>
        <v/>
      </c>
      <c r="B401">
        <f>IF(A401="","",Products!C401)</f>
        <v/>
      </c>
      <c r="C401">
        <f>IF(A401="","",SUMIFS(Lots!F:F,Lots!B:B,A401))</f>
        <v/>
      </c>
      <c r="D401">
        <f>IF(A401="","",SUMIFS(Sales!F:F,Sales!D:D,A401))</f>
        <v/>
      </c>
      <c r="E401">
        <f>IF(A401="","",C401-D401)</f>
        <v/>
      </c>
      <c r="F401" s="3">
        <f>IF(A401="","",IF(D401=0,"",_xlfn.MAXIFS(Sales!C:C,Sales!D:D,A401)))</f>
        <v/>
      </c>
      <c r="G401">
        <f>IF(A401="","",IF(F401="","",TODAY()-F401))</f>
        <v/>
      </c>
      <c r="H401">
        <f>IF(A401="","",IF(E401&lt;=0,"Out of stock",IF(E401&lt;=5,"Low stock",IF(AND(G401&lt;&gt;"",G401&gt;=30),"Slow moving","OK"))))</f>
        <v/>
      </c>
    </row>
    <row r="402">
      <c r="A402">
        <f>IF(Products!A402="","",Products!A402)</f>
        <v/>
      </c>
      <c r="B402">
        <f>IF(A402="","",Products!C402)</f>
        <v/>
      </c>
      <c r="C402">
        <f>IF(A402="","",SUMIFS(Lots!F:F,Lots!B:B,A402))</f>
        <v/>
      </c>
      <c r="D402">
        <f>IF(A402="","",SUMIFS(Sales!F:F,Sales!D:D,A402))</f>
        <v/>
      </c>
      <c r="E402">
        <f>IF(A402="","",C402-D402)</f>
        <v/>
      </c>
      <c r="F402" s="3">
        <f>IF(A402="","",IF(D402=0,"",_xlfn.MAXIFS(Sales!C:C,Sales!D:D,A402)))</f>
        <v/>
      </c>
      <c r="G402">
        <f>IF(A402="","",IF(F402="","",TODAY()-F402))</f>
        <v/>
      </c>
      <c r="H402">
        <f>IF(A402="","",IF(E402&lt;=0,"Out of stock",IF(E402&lt;=5,"Low stock",IF(AND(G402&lt;&gt;"",G402&gt;=30),"Slow moving","OK"))))</f>
        <v/>
      </c>
    </row>
    <row r="403">
      <c r="A403">
        <f>IF(Products!A403="","",Products!A403)</f>
        <v/>
      </c>
      <c r="B403">
        <f>IF(A403="","",Products!C403)</f>
        <v/>
      </c>
      <c r="C403">
        <f>IF(A403="","",SUMIFS(Lots!F:F,Lots!B:B,A403))</f>
        <v/>
      </c>
      <c r="D403">
        <f>IF(A403="","",SUMIFS(Sales!F:F,Sales!D:D,A403))</f>
        <v/>
      </c>
      <c r="E403">
        <f>IF(A403="","",C403-D403)</f>
        <v/>
      </c>
      <c r="F403" s="3">
        <f>IF(A403="","",IF(D403=0,"",_xlfn.MAXIFS(Sales!C:C,Sales!D:D,A403)))</f>
        <v/>
      </c>
      <c r="G403">
        <f>IF(A403="","",IF(F403="","",TODAY()-F403))</f>
        <v/>
      </c>
      <c r="H403">
        <f>IF(A403="","",IF(E403&lt;=0,"Out of stock",IF(E403&lt;=5,"Low stock",IF(AND(G403&lt;&gt;"",G403&gt;=30),"Slow moving","OK"))))</f>
        <v/>
      </c>
    </row>
    <row r="404">
      <c r="A404">
        <f>IF(Products!A404="","",Products!A404)</f>
        <v/>
      </c>
      <c r="B404">
        <f>IF(A404="","",Products!C404)</f>
        <v/>
      </c>
      <c r="C404">
        <f>IF(A404="","",SUMIFS(Lots!F:F,Lots!B:B,A404))</f>
        <v/>
      </c>
      <c r="D404">
        <f>IF(A404="","",SUMIFS(Sales!F:F,Sales!D:D,A404))</f>
        <v/>
      </c>
      <c r="E404">
        <f>IF(A404="","",C404-D404)</f>
        <v/>
      </c>
      <c r="F404" s="3">
        <f>IF(A404="","",IF(D404=0,"",_xlfn.MAXIFS(Sales!C:C,Sales!D:D,A404)))</f>
        <v/>
      </c>
      <c r="G404">
        <f>IF(A404="","",IF(F404="","",TODAY()-F404))</f>
        <v/>
      </c>
      <c r="H404">
        <f>IF(A404="","",IF(E404&lt;=0,"Out of stock",IF(E404&lt;=5,"Low stock",IF(AND(G404&lt;&gt;"",G404&gt;=30),"Slow moving","OK"))))</f>
        <v/>
      </c>
    </row>
    <row r="405">
      <c r="A405">
        <f>IF(Products!A405="","",Products!A405)</f>
        <v/>
      </c>
      <c r="B405">
        <f>IF(A405="","",Products!C405)</f>
        <v/>
      </c>
      <c r="C405">
        <f>IF(A405="","",SUMIFS(Lots!F:F,Lots!B:B,A405))</f>
        <v/>
      </c>
      <c r="D405">
        <f>IF(A405="","",SUMIFS(Sales!F:F,Sales!D:D,A405))</f>
        <v/>
      </c>
      <c r="E405">
        <f>IF(A405="","",C405-D405)</f>
        <v/>
      </c>
      <c r="F405" s="3">
        <f>IF(A405="","",IF(D405=0,"",_xlfn.MAXIFS(Sales!C:C,Sales!D:D,A405)))</f>
        <v/>
      </c>
      <c r="G405">
        <f>IF(A405="","",IF(F405="","",TODAY()-F405))</f>
        <v/>
      </c>
      <c r="H405">
        <f>IF(A405="","",IF(E405&lt;=0,"Out of stock",IF(E405&lt;=5,"Low stock",IF(AND(G405&lt;&gt;"",G405&gt;=30),"Slow moving","OK"))))</f>
        <v/>
      </c>
    </row>
    <row r="406">
      <c r="A406">
        <f>IF(Products!A406="","",Products!A406)</f>
        <v/>
      </c>
      <c r="B406">
        <f>IF(A406="","",Products!C406)</f>
        <v/>
      </c>
      <c r="C406">
        <f>IF(A406="","",SUMIFS(Lots!F:F,Lots!B:B,A406))</f>
        <v/>
      </c>
      <c r="D406">
        <f>IF(A406="","",SUMIFS(Sales!F:F,Sales!D:D,A406))</f>
        <v/>
      </c>
      <c r="E406">
        <f>IF(A406="","",C406-D406)</f>
        <v/>
      </c>
      <c r="F406" s="3">
        <f>IF(A406="","",IF(D406=0,"",_xlfn.MAXIFS(Sales!C:C,Sales!D:D,A406)))</f>
        <v/>
      </c>
      <c r="G406">
        <f>IF(A406="","",IF(F406="","",TODAY()-F406))</f>
        <v/>
      </c>
      <c r="H406">
        <f>IF(A406="","",IF(E406&lt;=0,"Out of stock",IF(E406&lt;=5,"Low stock",IF(AND(G406&lt;&gt;"",G406&gt;=30),"Slow moving","OK"))))</f>
        <v/>
      </c>
    </row>
    <row r="407">
      <c r="A407">
        <f>IF(Products!A407="","",Products!A407)</f>
        <v/>
      </c>
      <c r="B407">
        <f>IF(A407="","",Products!C407)</f>
        <v/>
      </c>
      <c r="C407">
        <f>IF(A407="","",SUMIFS(Lots!F:F,Lots!B:B,A407))</f>
        <v/>
      </c>
      <c r="D407">
        <f>IF(A407="","",SUMIFS(Sales!F:F,Sales!D:D,A407))</f>
        <v/>
      </c>
      <c r="E407">
        <f>IF(A407="","",C407-D407)</f>
        <v/>
      </c>
      <c r="F407" s="3">
        <f>IF(A407="","",IF(D407=0,"",_xlfn.MAXIFS(Sales!C:C,Sales!D:D,A407)))</f>
        <v/>
      </c>
      <c r="G407">
        <f>IF(A407="","",IF(F407="","",TODAY()-F407))</f>
        <v/>
      </c>
      <c r="H407">
        <f>IF(A407="","",IF(E407&lt;=0,"Out of stock",IF(E407&lt;=5,"Low stock",IF(AND(G407&lt;&gt;"",G407&gt;=30),"Slow moving","OK"))))</f>
        <v/>
      </c>
    </row>
    <row r="408">
      <c r="A408">
        <f>IF(Products!A408="","",Products!A408)</f>
        <v/>
      </c>
      <c r="B408">
        <f>IF(A408="","",Products!C408)</f>
        <v/>
      </c>
      <c r="C408">
        <f>IF(A408="","",SUMIFS(Lots!F:F,Lots!B:B,A408))</f>
        <v/>
      </c>
      <c r="D408">
        <f>IF(A408="","",SUMIFS(Sales!F:F,Sales!D:D,A408))</f>
        <v/>
      </c>
      <c r="E408">
        <f>IF(A408="","",C408-D408)</f>
        <v/>
      </c>
      <c r="F408" s="3">
        <f>IF(A408="","",IF(D408=0,"",_xlfn.MAXIFS(Sales!C:C,Sales!D:D,A408)))</f>
        <v/>
      </c>
      <c r="G408">
        <f>IF(A408="","",IF(F408="","",TODAY()-F408))</f>
        <v/>
      </c>
      <c r="H408">
        <f>IF(A408="","",IF(E408&lt;=0,"Out of stock",IF(E408&lt;=5,"Low stock",IF(AND(G408&lt;&gt;"",G408&gt;=30),"Slow moving","OK"))))</f>
        <v/>
      </c>
    </row>
    <row r="409">
      <c r="A409">
        <f>IF(Products!A409="","",Products!A409)</f>
        <v/>
      </c>
      <c r="B409">
        <f>IF(A409="","",Products!C409)</f>
        <v/>
      </c>
      <c r="C409">
        <f>IF(A409="","",SUMIFS(Lots!F:F,Lots!B:B,A409))</f>
        <v/>
      </c>
      <c r="D409">
        <f>IF(A409="","",SUMIFS(Sales!F:F,Sales!D:D,A409))</f>
        <v/>
      </c>
      <c r="E409">
        <f>IF(A409="","",C409-D409)</f>
        <v/>
      </c>
      <c r="F409" s="3">
        <f>IF(A409="","",IF(D409=0,"",_xlfn.MAXIFS(Sales!C:C,Sales!D:D,A409)))</f>
        <v/>
      </c>
      <c r="G409">
        <f>IF(A409="","",IF(F409="","",TODAY()-F409))</f>
        <v/>
      </c>
      <c r="H409">
        <f>IF(A409="","",IF(E409&lt;=0,"Out of stock",IF(E409&lt;=5,"Low stock",IF(AND(G409&lt;&gt;"",G409&gt;=30),"Slow moving","OK"))))</f>
        <v/>
      </c>
    </row>
    <row r="410">
      <c r="A410">
        <f>IF(Products!A410="","",Products!A410)</f>
        <v/>
      </c>
      <c r="B410">
        <f>IF(A410="","",Products!C410)</f>
        <v/>
      </c>
      <c r="C410">
        <f>IF(A410="","",SUMIFS(Lots!F:F,Lots!B:B,A410))</f>
        <v/>
      </c>
      <c r="D410">
        <f>IF(A410="","",SUMIFS(Sales!F:F,Sales!D:D,A410))</f>
        <v/>
      </c>
      <c r="E410">
        <f>IF(A410="","",C410-D410)</f>
        <v/>
      </c>
      <c r="F410" s="3">
        <f>IF(A410="","",IF(D410=0,"",_xlfn.MAXIFS(Sales!C:C,Sales!D:D,A410)))</f>
        <v/>
      </c>
      <c r="G410">
        <f>IF(A410="","",IF(F410="","",TODAY()-F410))</f>
        <v/>
      </c>
      <c r="H410">
        <f>IF(A410="","",IF(E410&lt;=0,"Out of stock",IF(E410&lt;=5,"Low stock",IF(AND(G410&lt;&gt;"",G410&gt;=30),"Slow moving","OK"))))</f>
        <v/>
      </c>
    </row>
    <row r="411">
      <c r="A411">
        <f>IF(Products!A411="","",Products!A411)</f>
        <v/>
      </c>
      <c r="B411">
        <f>IF(A411="","",Products!C411)</f>
        <v/>
      </c>
      <c r="C411">
        <f>IF(A411="","",SUMIFS(Lots!F:F,Lots!B:B,A411))</f>
        <v/>
      </c>
      <c r="D411">
        <f>IF(A411="","",SUMIFS(Sales!F:F,Sales!D:D,A411))</f>
        <v/>
      </c>
      <c r="E411">
        <f>IF(A411="","",C411-D411)</f>
        <v/>
      </c>
      <c r="F411" s="3">
        <f>IF(A411="","",IF(D411=0,"",_xlfn.MAXIFS(Sales!C:C,Sales!D:D,A411)))</f>
        <v/>
      </c>
      <c r="G411">
        <f>IF(A411="","",IF(F411="","",TODAY()-F411))</f>
        <v/>
      </c>
      <c r="H411">
        <f>IF(A411="","",IF(E411&lt;=0,"Out of stock",IF(E411&lt;=5,"Low stock",IF(AND(G411&lt;&gt;"",G411&gt;=30),"Slow moving","OK"))))</f>
        <v/>
      </c>
    </row>
    <row r="412">
      <c r="A412">
        <f>IF(Products!A412="","",Products!A412)</f>
        <v/>
      </c>
      <c r="B412">
        <f>IF(A412="","",Products!C412)</f>
        <v/>
      </c>
      <c r="C412">
        <f>IF(A412="","",SUMIFS(Lots!F:F,Lots!B:B,A412))</f>
        <v/>
      </c>
      <c r="D412">
        <f>IF(A412="","",SUMIFS(Sales!F:F,Sales!D:D,A412))</f>
        <v/>
      </c>
      <c r="E412">
        <f>IF(A412="","",C412-D412)</f>
        <v/>
      </c>
      <c r="F412" s="3">
        <f>IF(A412="","",IF(D412=0,"",_xlfn.MAXIFS(Sales!C:C,Sales!D:D,A412)))</f>
        <v/>
      </c>
      <c r="G412">
        <f>IF(A412="","",IF(F412="","",TODAY()-F412))</f>
        <v/>
      </c>
      <c r="H412">
        <f>IF(A412="","",IF(E412&lt;=0,"Out of stock",IF(E412&lt;=5,"Low stock",IF(AND(G412&lt;&gt;"",G412&gt;=30),"Slow moving","OK"))))</f>
        <v/>
      </c>
    </row>
    <row r="413">
      <c r="A413">
        <f>IF(Products!A413="","",Products!A413)</f>
        <v/>
      </c>
      <c r="B413">
        <f>IF(A413="","",Products!C413)</f>
        <v/>
      </c>
      <c r="C413">
        <f>IF(A413="","",SUMIFS(Lots!F:F,Lots!B:B,A413))</f>
        <v/>
      </c>
      <c r="D413">
        <f>IF(A413="","",SUMIFS(Sales!F:F,Sales!D:D,A413))</f>
        <v/>
      </c>
      <c r="E413">
        <f>IF(A413="","",C413-D413)</f>
        <v/>
      </c>
      <c r="F413" s="3">
        <f>IF(A413="","",IF(D413=0,"",_xlfn.MAXIFS(Sales!C:C,Sales!D:D,A413)))</f>
        <v/>
      </c>
      <c r="G413">
        <f>IF(A413="","",IF(F413="","",TODAY()-F413))</f>
        <v/>
      </c>
      <c r="H413">
        <f>IF(A413="","",IF(E413&lt;=0,"Out of stock",IF(E413&lt;=5,"Low stock",IF(AND(G413&lt;&gt;"",G413&gt;=30),"Slow moving","OK"))))</f>
        <v/>
      </c>
    </row>
    <row r="414">
      <c r="A414">
        <f>IF(Products!A414="","",Products!A414)</f>
        <v/>
      </c>
      <c r="B414">
        <f>IF(A414="","",Products!C414)</f>
        <v/>
      </c>
      <c r="C414">
        <f>IF(A414="","",SUMIFS(Lots!F:F,Lots!B:B,A414))</f>
        <v/>
      </c>
      <c r="D414">
        <f>IF(A414="","",SUMIFS(Sales!F:F,Sales!D:D,A414))</f>
        <v/>
      </c>
      <c r="E414">
        <f>IF(A414="","",C414-D414)</f>
        <v/>
      </c>
      <c r="F414" s="3">
        <f>IF(A414="","",IF(D414=0,"",_xlfn.MAXIFS(Sales!C:C,Sales!D:D,A414)))</f>
        <v/>
      </c>
      <c r="G414">
        <f>IF(A414="","",IF(F414="","",TODAY()-F414))</f>
        <v/>
      </c>
      <c r="H414">
        <f>IF(A414="","",IF(E414&lt;=0,"Out of stock",IF(E414&lt;=5,"Low stock",IF(AND(G414&lt;&gt;"",G414&gt;=30),"Slow moving","OK"))))</f>
        <v/>
      </c>
    </row>
    <row r="415">
      <c r="A415">
        <f>IF(Products!A415="","",Products!A415)</f>
        <v/>
      </c>
      <c r="B415">
        <f>IF(A415="","",Products!C415)</f>
        <v/>
      </c>
      <c r="C415">
        <f>IF(A415="","",SUMIFS(Lots!F:F,Lots!B:B,A415))</f>
        <v/>
      </c>
      <c r="D415">
        <f>IF(A415="","",SUMIFS(Sales!F:F,Sales!D:D,A415))</f>
        <v/>
      </c>
      <c r="E415">
        <f>IF(A415="","",C415-D415)</f>
        <v/>
      </c>
      <c r="F415" s="3">
        <f>IF(A415="","",IF(D415=0,"",_xlfn.MAXIFS(Sales!C:C,Sales!D:D,A415)))</f>
        <v/>
      </c>
      <c r="G415">
        <f>IF(A415="","",IF(F415="","",TODAY()-F415))</f>
        <v/>
      </c>
      <c r="H415">
        <f>IF(A415="","",IF(E415&lt;=0,"Out of stock",IF(E415&lt;=5,"Low stock",IF(AND(G415&lt;&gt;"",G415&gt;=30),"Slow moving","OK"))))</f>
        <v/>
      </c>
    </row>
    <row r="416">
      <c r="A416">
        <f>IF(Products!A416="","",Products!A416)</f>
        <v/>
      </c>
      <c r="B416">
        <f>IF(A416="","",Products!C416)</f>
        <v/>
      </c>
      <c r="C416">
        <f>IF(A416="","",SUMIFS(Lots!F:F,Lots!B:B,A416))</f>
        <v/>
      </c>
      <c r="D416">
        <f>IF(A416="","",SUMIFS(Sales!F:F,Sales!D:D,A416))</f>
        <v/>
      </c>
      <c r="E416">
        <f>IF(A416="","",C416-D416)</f>
        <v/>
      </c>
      <c r="F416" s="3">
        <f>IF(A416="","",IF(D416=0,"",_xlfn.MAXIFS(Sales!C:C,Sales!D:D,A416)))</f>
        <v/>
      </c>
      <c r="G416">
        <f>IF(A416="","",IF(F416="","",TODAY()-F416))</f>
        <v/>
      </c>
      <c r="H416">
        <f>IF(A416="","",IF(E416&lt;=0,"Out of stock",IF(E416&lt;=5,"Low stock",IF(AND(G416&lt;&gt;"",G416&gt;=30),"Slow moving","OK"))))</f>
        <v/>
      </c>
    </row>
    <row r="417">
      <c r="A417">
        <f>IF(Products!A417="","",Products!A417)</f>
        <v/>
      </c>
      <c r="B417">
        <f>IF(A417="","",Products!C417)</f>
        <v/>
      </c>
      <c r="C417">
        <f>IF(A417="","",SUMIFS(Lots!F:F,Lots!B:B,A417))</f>
        <v/>
      </c>
      <c r="D417">
        <f>IF(A417="","",SUMIFS(Sales!F:F,Sales!D:D,A417))</f>
        <v/>
      </c>
      <c r="E417">
        <f>IF(A417="","",C417-D417)</f>
        <v/>
      </c>
      <c r="F417" s="3">
        <f>IF(A417="","",IF(D417=0,"",_xlfn.MAXIFS(Sales!C:C,Sales!D:D,A417)))</f>
        <v/>
      </c>
      <c r="G417">
        <f>IF(A417="","",IF(F417="","",TODAY()-F417))</f>
        <v/>
      </c>
      <c r="H417">
        <f>IF(A417="","",IF(E417&lt;=0,"Out of stock",IF(E417&lt;=5,"Low stock",IF(AND(G417&lt;&gt;"",G417&gt;=30),"Slow moving","OK"))))</f>
        <v/>
      </c>
    </row>
    <row r="418">
      <c r="A418">
        <f>IF(Products!A418="","",Products!A418)</f>
        <v/>
      </c>
      <c r="B418">
        <f>IF(A418="","",Products!C418)</f>
        <v/>
      </c>
      <c r="C418">
        <f>IF(A418="","",SUMIFS(Lots!F:F,Lots!B:B,A418))</f>
        <v/>
      </c>
      <c r="D418">
        <f>IF(A418="","",SUMIFS(Sales!F:F,Sales!D:D,A418))</f>
        <v/>
      </c>
      <c r="E418">
        <f>IF(A418="","",C418-D418)</f>
        <v/>
      </c>
      <c r="F418" s="3">
        <f>IF(A418="","",IF(D418=0,"",_xlfn.MAXIFS(Sales!C:C,Sales!D:D,A418)))</f>
        <v/>
      </c>
      <c r="G418">
        <f>IF(A418="","",IF(F418="","",TODAY()-F418))</f>
        <v/>
      </c>
      <c r="H418">
        <f>IF(A418="","",IF(E418&lt;=0,"Out of stock",IF(E418&lt;=5,"Low stock",IF(AND(G418&lt;&gt;"",G418&gt;=30),"Slow moving","OK"))))</f>
        <v/>
      </c>
    </row>
    <row r="419">
      <c r="A419">
        <f>IF(Products!A419="","",Products!A419)</f>
        <v/>
      </c>
      <c r="B419">
        <f>IF(A419="","",Products!C419)</f>
        <v/>
      </c>
      <c r="C419">
        <f>IF(A419="","",SUMIFS(Lots!F:F,Lots!B:B,A419))</f>
        <v/>
      </c>
      <c r="D419">
        <f>IF(A419="","",SUMIFS(Sales!F:F,Sales!D:D,A419))</f>
        <v/>
      </c>
      <c r="E419">
        <f>IF(A419="","",C419-D419)</f>
        <v/>
      </c>
      <c r="F419" s="3">
        <f>IF(A419="","",IF(D419=0,"",_xlfn.MAXIFS(Sales!C:C,Sales!D:D,A419)))</f>
        <v/>
      </c>
      <c r="G419">
        <f>IF(A419="","",IF(F419="","",TODAY()-F419))</f>
        <v/>
      </c>
      <c r="H419">
        <f>IF(A419="","",IF(E419&lt;=0,"Out of stock",IF(E419&lt;=5,"Low stock",IF(AND(G419&lt;&gt;"",G419&gt;=30),"Slow moving","OK"))))</f>
        <v/>
      </c>
    </row>
    <row r="420">
      <c r="A420">
        <f>IF(Products!A420="","",Products!A420)</f>
        <v/>
      </c>
      <c r="B420">
        <f>IF(A420="","",Products!C420)</f>
        <v/>
      </c>
      <c r="C420">
        <f>IF(A420="","",SUMIFS(Lots!F:F,Lots!B:B,A420))</f>
        <v/>
      </c>
      <c r="D420">
        <f>IF(A420="","",SUMIFS(Sales!F:F,Sales!D:D,A420))</f>
        <v/>
      </c>
      <c r="E420">
        <f>IF(A420="","",C420-D420)</f>
        <v/>
      </c>
      <c r="F420" s="3">
        <f>IF(A420="","",IF(D420=0,"",_xlfn.MAXIFS(Sales!C:C,Sales!D:D,A420)))</f>
        <v/>
      </c>
      <c r="G420">
        <f>IF(A420="","",IF(F420="","",TODAY()-F420))</f>
        <v/>
      </c>
      <c r="H420">
        <f>IF(A420="","",IF(E420&lt;=0,"Out of stock",IF(E420&lt;=5,"Low stock",IF(AND(G420&lt;&gt;"",G420&gt;=30),"Slow moving","OK"))))</f>
        <v/>
      </c>
    </row>
    <row r="421">
      <c r="A421">
        <f>IF(Products!A421="","",Products!A421)</f>
        <v/>
      </c>
      <c r="B421">
        <f>IF(A421="","",Products!C421)</f>
        <v/>
      </c>
      <c r="C421">
        <f>IF(A421="","",SUMIFS(Lots!F:F,Lots!B:B,A421))</f>
        <v/>
      </c>
      <c r="D421">
        <f>IF(A421="","",SUMIFS(Sales!F:F,Sales!D:D,A421))</f>
        <v/>
      </c>
      <c r="E421">
        <f>IF(A421="","",C421-D421)</f>
        <v/>
      </c>
      <c r="F421" s="3">
        <f>IF(A421="","",IF(D421=0,"",_xlfn.MAXIFS(Sales!C:C,Sales!D:D,A421)))</f>
        <v/>
      </c>
      <c r="G421">
        <f>IF(A421="","",IF(F421="","",TODAY()-F421))</f>
        <v/>
      </c>
      <c r="H421">
        <f>IF(A421="","",IF(E421&lt;=0,"Out of stock",IF(E421&lt;=5,"Low stock",IF(AND(G421&lt;&gt;"",G421&gt;=30),"Slow moving","OK"))))</f>
        <v/>
      </c>
    </row>
    <row r="422">
      <c r="A422">
        <f>IF(Products!A422="","",Products!A422)</f>
        <v/>
      </c>
      <c r="B422">
        <f>IF(A422="","",Products!C422)</f>
        <v/>
      </c>
      <c r="C422">
        <f>IF(A422="","",SUMIFS(Lots!F:F,Lots!B:B,A422))</f>
        <v/>
      </c>
      <c r="D422">
        <f>IF(A422="","",SUMIFS(Sales!F:F,Sales!D:D,A422))</f>
        <v/>
      </c>
      <c r="E422">
        <f>IF(A422="","",C422-D422)</f>
        <v/>
      </c>
      <c r="F422" s="3">
        <f>IF(A422="","",IF(D422=0,"",_xlfn.MAXIFS(Sales!C:C,Sales!D:D,A422)))</f>
        <v/>
      </c>
      <c r="G422">
        <f>IF(A422="","",IF(F422="","",TODAY()-F422))</f>
        <v/>
      </c>
      <c r="H422">
        <f>IF(A422="","",IF(E422&lt;=0,"Out of stock",IF(E422&lt;=5,"Low stock",IF(AND(G422&lt;&gt;"",G422&gt;=30),"Slow moving","OK"))))</f>
        <v/>
      </c>
    </row>
    <row r="423">
      <c r="A423">
        <f>IF(Products!A423="","",Products!A423)</f>
        <v/>
      </c>
      <c r="B423">
        <f>IF(A423="","",Products!C423)</f>
        <v/>
      </c>
      <c r="C423">
        <f>IF(A423="","",SUMIFS(Lots!F:F,Lots!B:B,A423))</f>
        <v/>
      </c>
      <c r="D423">
        <f>IF(A423="","",SUMIFS(Sales!F:F,Sales!D:D,A423))</f>
        <v/>
      </c>
      <c r="E423">
        <f>IF(A423="","",C423-D423)</f>
        <v/>
      </c>
      <c r="F423" s="3">
        <f>IF(A423="","",IF(D423=0,"",_xlfn.MAXIFS(Sales!C:C,Sales!D:D,A423)))</f>
        <v/>
      </c>
      <c r="G423">
        <f>IF(A423="","",IF(F423="","",TODAY()-F423))</f>
        <v/>
      </c>
      <c r="H423">
        <f>IF(A423="","",IF(E423&lt;=0,"Out of stock",IF(E423&lt;=5,"Low stock",IF(AND(G423&lt;&gt;"",G423&gt;=30),"Slow moving","OK"))))</f>
        <v/>
      </c>
    </row>
    <row r="424">
      <c r="A424">
        <f>IF(Products!A424="","",Products!A424)</f>
        <v/>
      </c>
      <c r="B424">
        <f>IF(A424="","",Products!C424)</f>
        <v/>
      </c>
      <c r="C424">
        <f>IF(A424="","",SUMIFS(Lots!F:F,Lots!B:B,A424))</f>
        <v/>
      </c>
      <c r="D424">
        <f>IF(A424="","",SUMIFS(Sales!F:F,Sales!D:D,A424))</f>
        <v/>
      </c>
      <c r="E424">
        <f>IF(A424="","",C424-D424)</f>
        <v/>
      </c>
      <c r="F424" s="3">
        <f>IF(A424="","",IF(D424=0,"",_xlfn.MAXIFS(Sales!C:C,Sales!D:D,A424)))</f>
        <v/>
      </c>
      <c r="G424">
        <f>IF(A424="","",IF(F424="","",TODAY()-F424))</f>
        <v/>
      </c>
      <c r="H424">
        <f>IF(A424="","",IF(E424&lt;=0,"Out of stock",IF(E424&lt;=5,"Low stock",IF(AND(G424&lt;&gt;"",G424&gt;=30),"Slow moving","OK"))))</f>
        <v/>
      </c>
    </row>
    <row r="425">
      <c r="A425">
        <f>IF(Products!A425="","",Products!A425)</f>
        <v/>
      </c>
      <c r="B425">
        <f>IF(A425="","",Products!C425)</f>
        <v/>
      </c>
      <c r="C425">
        <f>IF(A425="","",SUMIFS(Lots!F:F,Lots!B:B,A425))</f>
        <v/>
      </c>
      <c r="D425">
        <f>IF(A425="","",SUMIFS(Sales!F:F,Sales!D:D,A425))</f>
        <v/>
      </c>
      <c r="E425">
        <f>IF(A425="","",C425-D425)</f>
        <v/>
      </c>
      <c r="F425" s="3">
        <f>IF(A425="","",IF(D425=0,"",_xlfn.MAXIFS(Sales!C:C,Sales!D:D,A425)))</f>
        <v/>
      </c>
      <c r="G425">
        <f>IF(A425="","",IF(F425="","",TODAY()-F425))</f>
        <v/>
      </c>
      <c r="H425">
        <f>IF(A425="","",IF(E425&lt;=0,"Out of stock",IF(E425&lt;=5,"Low stock",IF(AND(G425&lt;&gt;"",G425&gt;=30),"Slow moving","OK"))))</f>
        <v/>
      </c>
    </row>
    <row r="426">
      <c r="A426">
        <f>IF(Products!A426="","",Products!A426)</f>
        <v/>
      </c>
      <c r="B426">
        <f>IF(A426="","",Products!C426)</f>
        <v/>
      </c>
      <c r="C426">
        <f>IF(A426="","",SUMIFS(Lots!F:F,Lots!B:B,A426))</f>
        <v/>
      </c>
      <c r="D426">
        <f>IF(A426="","",SUMIFS(Sales!F:F,Sales!D:D,A426))</f>
        <v/>
      </c>
      <c r="E426">
        <f>IF(A426="","",C426-D426)</f>
        <v/>
      </c>
      <c r="F426" s="3">
        <f>IF(A426="","",IF(D426=0,"",_xlfn.MAXIFS(Sales!C:C,Sales!D:D,A426)))</f>
        <v/>
      </c>
      <c r="G426">
        <f>IF(A426="","",IF(F426="","",TODAY()-F426))</f>
        <v/>
      </c>
      <c r="H426">
        <f>IF(A426="","",IF(E426&lt;=0,"Out of stock",IF(E426&lt;=5,"Low stock",IF(AND(G426&lt;&gt;"",G426&gt;=30),"Slow moving","OK"))))</f>
        <v/>
      </c>
    </row>
    <row r="427">
      <c r="A427">
        <f>IF(Products!A427="","",Products!A427)</f>
        <v/>
      </c>
      <c r="B427">
        <f>IF(A427="","",Products!C427)</f>
        <v/>
      </c>
      <c r="C427">
        <f>IF(A427="","",SUMIFS(Lots!F:F,Lots!B:B,A427))</f>
        <v/>
      </c>
      <c r="D427">
        <f>IF(A427="","",SUMIFS(Sales!F:F,Sales!D:D,A427))</f>
        <v/>
      </c>
      <c r="E427">
        <f>IF(A427="","",C427-D427)</f>
        <v/>
      </c>
      <c r="F427" s="3">
        <f>IF(A427="","",IF(D427=0,"",_xlfn.MAXIFS(Sales!C:C,Sales!D:D,A427)))</f>
        <v/>
      </c>
      <c r="G427">
        <f>IF(A427="","",IF(F427="","",TODAY()-F427))</f>
        <v/>
      </c>
      <c r="H427">
        <f>IF(A427="","",IF(E427&lt;=0,"Out of stock",IF(E427&lt;=5,"Low stock",IF(AND(G427&lt;&gt;"",G427&gt;=30),"Slow moving","OK"))))</f>
        <v/>
      </c>
    </row>
    <row r="428">
      <c r="A428">
        <f>IF(Products!A428="","",Products!A428)</f>
        <v/>
      </c>
      <c r="B428">
        <f>IF(A428="","",Products!C428)</f>
        <v/>
      </c>
      <c r="C428">
        <f>IF(A428="","",SUMIFS(Lots!F:F,Lots!B:B,A428))</f>
        <v/>
      </c>
      <c r="D428">
        <f>IF(A428="","",SUMIFS(Sales!F:F,Sales!D:D,A428))</f>
        <v/>
      </c>
      <c r="E428">
        <f>IF(A428="","",C428-D428)</f>
        <v/>
      </c>
      <c r="F428" s="3">
        <f>IF(A428="","",IF(D428=0,"",_xlfn.MAXIFS(Sales!C:C,Sales!D:D,A428)))</f>
        <v/>
      </c>
      <c r="G428">
        <f>IF(A428="","",IF(F428="","",TODAY()-F428))</f>
        <v/>
      </c>
      <c r="H428">
        <f>IF(A428="","",IF(E428&lt;=0,"Out of stock",IF(E428&lt;=5,"Low stock",IF(AND(G428&lt;&gt;"",G428&gt;=30),"Slow moving","OK"))))</f>
        <v/>
      </c>
    </row>
    <row r="429">
      <c r="A429">
        <f>IF(Products!A429="","",Products!A429)</f>
        <v/>
      </c>
      <c r="B429">
        <f>IF(A429="","",Products!C429)</f>
        <v/>
      </c>
      <c r="C429">
        <f>IF(A429="","",SUMIFS(Lots!F:F,Lots!B:B,A429))</f>
        <v/>
      </c>
      <c r="D429">
        <f>IF(A429="","",SUMIFS(Sales!F:F,Sales!D:D,A429))</f>
        <v/>
      </c>
      <c r="E429">
        <f>IF(A429="","",C429-D429)</f>
        <v/>
      </c>
      <c r="F429" s="3">
        <f>IF(A429="","",IF(D429=0,"",_xlfn.MAXIFS(Sales!C:C,Sales!D:D,A429)))</f>
        <v/>
      </c>
      <c r="G429">
        <f>IF(A429="","",IF(F429="","",TODAY()-F429))</f>
        <v/>
      </c>
      <c r="H429">
        <f>IF(A429="","",IF(E429&lt;=0,"Out of stock",IF(E429&lt;=5,"Low stock",IF(AND(G429&lt;&gt;"",G429&gt;=30),"Slow moving","OK"))))</f>
        <v/>
      </c>
    </row>
    <row r="430">
      <c r="A430">
        <f>IF(Products!A430="","",Products!A430)</f>
        <v/>
      </c>
      <c r="B430">
        <f>IF(A430="","",Products!C430)</f>
        <v/>
      </c>
      <c r="C430">
        <f>IF(A430="","",SUMIFS(Lots!F:F,Lots!B:B,A430))</f>
        <v/>
      </c>
      <c r="D430">
        <f>IF(A430="","",SUMIFS(Sales!F:F,Sales!D:D,A430))</f>
        <v/>
      </c>
      <c r="E430">
        <f>IF(A430="","",C430-D430)</f>
        <v/>
      </c>
      <c r="F430" s="3">
        <f>IF(A430="","",IF(D430=0,"",_xlfn.MAXIFS(Sales!C:C,Sales!D:D,A430)))</f>
        <v/>
      </c>
      <c r="G430">
        <f>IF(A430="","",IF(F430="","",TODAY()-F430))</f>
        <v/>
      </c>
      <c r="H430">
        <f>IF(A430="","",IF(E430&lt;=0,"Out of stock",IF(E430&lt;=5,"Low stock",IF(AND(G430&lt;&gt;"",G430&gt;=30),"Slow moving","OK"))))</f>
        <v/>
      </c>
    </row>
    <row r="431">
      <c r="A431">
        <f>IF(Products!A431="","",Products!A431)</f>
        <v/>
      </c>
      <c r="B431">
        <f>IF(A431="","",Products!C431)</f>
        <v/>
      </c>
      <c r="C431">
        <f>IF(A431="","",SUMIFS(Lots!F:F,Lots!B:B,A431))</f>
        <v/>
      </c>
      <c r="D431">
        <f>IF(A431="","",SUMIFS(Sales!F:F,Sales!D:D,A431))</f>
        <v/>
      </c>
      <c r="E431">
        <f>IF(A431="","",C431-D431)</f>
        <v/>
      </c>
      <c r="F431" s="3">
        <f>IF(A431="","",IF(D431=0,"",_xlfn.MAXIFS(Sales!C:C,Sales!D:D,A431)))</f>
        <v/>
      </c>
      <c r="G431">
        <f>IF(A431="","",IF(F431="","",TODAY()-F431))</f>
        <v/>
      </c>
      <c r="H431">
        <f>IF(A431="","",IF(E431&lt;=0,"Out of stock",IF(E431&lt;=5,"Low stock",IF(AND(G431&lt;&gt;"",G431&gt;=30),"Slow moving","OK"))))</f>
        <v/>
      </c>
    </row>
    <row r="432">
      <c r="A432">
        <f>IF(Products!A432="","",Products!A432)</f>
        <v/>
      </c>
      <c r="B432">
        <f>IF(A432="","",Products!C432)</f>
        <v/>
      </c>
      <c r="C432">
        <f>IF(A432="","",SUMIFS(Lots!F:F,Lots!B:B,A432))</f>
        <v/>
      </c>
      <c r="D432">
        <f>IF(A432="","",SUMIFS(Sales!F:F,Sales!D:D,A432))</f>
        <v/>
      </c>
      <c r="E432">
        <f>IF(A432="","",C432-D432)</f>
        <v/>
      </c>
      <c r="F432" s="3">
        <f>IF(A432="","",IF(D432=0,"",_xlfn.MAXIFS(Sales!C:C,Sales!D:D,A432)))</f>
        <v/>
      </c>
      <c r="G432">
        <f>IF(A432="","",IF(F432="","",TODAY()-F432))</f>
        <v/>
      </c>
      <c r="H432">
        <f>IF(A432="","",IF(E432&lt;=0,"Out of stock",IF(E432&lt;=5,"Low stock",IF(AND(G432&lt;&gt;"",G432&gt;=30),"Slow moving","OK"))))</f>
        <v/>
      </c>
    </row>
    <row r="433">
      <c r="A433">
        <f>IF(Products!A433="","",Products!A433)</f>
        <v/>
      </c>
      <c r="B433">
        <f>IF(A433="","",Products!C433)</f>
        <v/>
      </c>
      <c r="C433">
        <f>IF(A433="","",SUMIFS(Lots!F:F,Lots!B:B,A433))</f>
        <v/>
      </c>
      <c r="D433">
        <f>IF(A433="","",SUMIFS(Sales!F:F,Sales!D:D,A433))</f>
        <v/>
      </c>
      <c r="E433">
        <f>IF(A433="","",C433-D433)</f>
        <v/>
      </c>
      <c r="F433" s="3">
        <f>IF(A433="","",IF(D433=0,"",_xlfn.MAXIFS(Sales!C:C,Sales!D:D,A433)))</f>
        <v/>
      </c>
      <c r="G433">
        <f>IF(A433="","",IF(F433="","",TODAY()-F433))</f>
        <v/>
      </c>
      <c r="H433">
        <f>IF(A433="","",IF(E433&lt;=0,"Out of stock",IF(E433&lt;=5,"Low stock",IF(AND(G433&lt;&gt;"",G433&gt;=30),"Slow moving","OK"))))</f>
        <v/>
      </c>
    </row>
    <row r="434">
      <c r="A434">
        <f>IF(Products!A434="","",Products!A434)</f>
        <v/>
      </c>
      <c r="B434">
        <f>IF(A434="","",Products!C434)</f>
        <v/>
      </c>
      <c r="C434">
        <f>IF(A434="","",SUMIFS(Lots!F:F,Lots!B:B,A434))</f>
        <v/>
      </c>
      <c r="D434">
        <f>IF(A434="","",SUMIFS(Sales!F:F,Sales!D:D,A434))</f>
        <v/>
      </c>
      <c r="E434">
        <f>IF(A434="","",C434-D434)</f>
        <v/>
      </c>
      <c r="F434" s="3">
        <f>IF(A434="","",IF(D434=0,"",_xlfn.MAXIFS(Sales!C:C,Sales!D:D,A434)))</f>
        <v/>
      </c>
      <c r="G434">
        <f>IF(A434="","",IF(F434="","",TODAY()-F434))</f>
        <v/>
      </c>
      <c r="H434">
        <f>IF(A434="","",IF(E434&lt;=0,"Out of stock",IF(E434&lt;=5,"Low stock",IF(AND(G434&lt;&gt;"",G434&gt;=30),"Slow moving","OK"))))</f>
        <v/>
      </c>
    </row>
    <row r="435">
      <c r="A435">
        <f>IF(Products!A435="","",Products!A435)</f>
        <v/>
      </c>
      <c r="B435">
        <f>IF(A435="","",Products!C435)</f>
        <v/>
      </c>
      <c r="C435">
        <f>IF(A435="","",SUMIFS(Lots!F:F,Lots!B:B,A435))</f>
        <v/>
      </c>
      <c r="D435">
        <f>IF(A435="","",SUMIFS(Sales!F:F,Sales!D:D,A435))</f>
        <v/>
      </c>
      <c r="E435">
        <f>IF(A435="","",C435-D435)</f>
        <v/>
      </c>
      <c r="F435" s="3">
        <f>IF(A435="","",IF(D435=0,"",_xlfn.MAXIFS(Sales!C:C,Sales!D:D,A435)))</f>
        <v/>
      </c>
      <c r="G435">
        <f>IF(A435="","",IF(F435="","",TODAY()-F435))</f>
        <v/>
      </c>
      <c r="H435">
        <f>IF(A435="","",IF(E435&lt;=0,"Out of stock",IF(E435&lt;=5,"Low stock",IF(AND(G435&lt;&gt;"",G435&gt;=30),"Slow moving","OK"))))</f>
        <v/>
      </c>
    </row>
    <row r="436">
      <c r="A436">
        <f>IF(Products!A436="","",Products!A436)</f>
        <v/>
      </c>
      <c r="B436">
        <f>IF(A436="","",Products!C436)</f>
        <v/>
      </c>
      <c r="C436">
        <f>IF(A436="","",SUMIFS(Lots!F:F,Lots!B:B,A436))</f>
        <v/>
      </c>
      <c r="D436">
        <f>IF(A436="","",SUMIFS(Sales!F:F,Sales!D:D,A436))</f>
        <v/>
      </c>
      <c r="E436">
        <f>IF(A436="","",C436-D436)</f>
        <v/>
      </c>
      <c r="F436" s="3">
        <f>IF(A436="","",IF(D436=0,"",_xlfn.MAXIFS(Sales!C:C,Sales!D:D,A436)))</f>
        <v/>
      </c>
      <c r="G436">
        <f>IF(A436="","",IF(F436="","",TODAY()-F436))</f>
        <v/>
      </c>
      <c r="H436">
        <f>IF(A436="","",IF(E436&lt;=0,"Out of stock",IF(E436&lt;=5,"Low stock",IF(AND(G436&lt;&gt;"",G436&gt;=30),"Slow moving","OK"))))</f>
        <v/>
      </c>
    </row>
    <row r="437">
      <c r="A437">
        <f>IF(Products!A437="","",Products!A437)</f>
        <v/>
      </c>
      <c r="B437">
        <f>IF(A437="","",Products!C437)</f>
        <v/>
      </c>
      <c r="C437">
        <f>IF(A437="","",SUMIFS(Lots!F:F,Lots!B:B,A437))</f>
        <v/>
      </c>
      <c r="D437">
        <f>IF(A437="","",SUMIFS(Sales!F:F,Sales!D:D,A437))</f>
        <v/>
      </c>
      <c r="E437">
        <f>IF(A437="","",C437-D437)</f>
        <v/>
      </c>
      <c r="F437" s="3">
        <f>IF(A437="","",IF(D437=0,"",_xlfn.MAXIFS(Sales!C:C,Sales!D:D,A437)))</f>
        <v/>
      </c>
      <c r="G437">
        <f>IF(A437="","",IF(F437="","",TODAY()-F437))</f>
        <v/>
      </c>
      <c r="H437">
        <f>IF(A437="","",IF(E437&lt;=0,"Out of stock",IF(E437&lt;=5,"Low stock",IF(AND(G437&lt;&gt;"",G437&gt;=30),"Slow moving","OK"))))</f>
        <v/>
      </c>
    </row>
    <row r="438">
      <c r="A438">
        <f>IF(Products!A438="","",Products!A438)</f>
        <v/>
      </c>
      <c r="B438">
        <f>IF(A438="","",Products!C438)</f>
        <v/>
      </c>
      <c r="C438">
        <f>IF(A438="","",SUMIFS(Lots!F:F,Lots!B:B,A438))</f>
        <v/>
      </c>
      <c r="D438">
        <f>IF(A438="","",SUMIFS(Sales!F:F,Sales!D:D,A438))</f>
        <v/>
      </c>
      <c r="E438">
        <f>IF(A438="","",C438-D438)</f>
        <v/>
      </c>
      <c r="F438" s="3">
        <f>IF(A438="","",IF(D438=0,"",_xlfn.MAXIFS(Sales!C:C,Sales!D:D,A438)))</f>
        <v/>
      </c>
      <c r="G438">
        <f>IF(A438="","",IF(F438="","",TODAY()-F438))</f>
        <v/>
      </c>
      <c r="H438">
        <f>IF(A438="","",IF(E438&lt;=0,"Out of stock",IF(E438&lt;=5,"Low stock",IF(AND(G438&lt;&gt;"",G438&gt;=30),"Slow moving","OK"))))</f>
        <v/>
      </c>
    </row>
    <row r="439">
      <c r="A439">
        <f>IF(Products!A439="","",Products!A439)</f>
        <v/>
      </c>
      <c r="B439">
        <f>IF(A439="","",Products!C439)</f>
        <v/>
      </c>
      <c r="C439">
        <f>IF(A439="","",SUMIFS(Lots!F:F,Lots!B:B,A439))</f>
        <v/>
      </c>
      <c r="D439">
        <f>IF(A439="","",SUMIFS(Sales!F:F,Sales!D:D,A439))</f>
        <v/>
      </c>
      <c r="E439">
        <f>IF(A439="","",C439-D439)</f>
        <v/>
      </c>
      <c r="F439" s="3">
        <f>IF(A439="","",IF(D439=0,"",_xlfn.MAXIFS(Sales!C:C,Sales!D:D,A439)))</f>
        <v/>
      </c>
      <c r="G439">
        <f>IF(A439="","",IF(F439="","",TODAY()-F439))</f>
        <v/>
      </c>
      <c r="H439">
        <f>IF(A439="","",IF(E439&lt;=0,"Out of stock",IF(E439&lt;=5,"Low stock",IF(AND(G439&lt;&gt;"",G439&gt;=30),"Slow moving","OK"))))</f>
        <v/>
      </c>
    </row>
    <row r="440">
      <c r="A440">
        <f>IF(Products!A440="","",Products!A440)</f>
        <v/>
      </c>
      <c r="B440">
        <f>IF(A440="","",Products!C440)</f>
        <v/>
      </c>
      <c r="C440">
        <f>IF(A440="","",SUMIFS(Lots!F:F,Lots!B:B,A440))</f>
        <v/>
      </c>
      <c r="D440">
        <f>IF(A440="","",SUMIFS(Sales!F:F,Sales!D:D,A440))</f>
        <v/>
      </c>
      <c r="E440">
        <f>IF(A440="","",C440-D440)</f>
        <v/>
      </c>
      <c r="F440" s="3">
        <f>IF(A440="","",IF(D440=0,"",_xlfn.MAXIFS(Sales!C:C,Sales!D:D,A440)))</f>
        <v/>
      </c>
      <c r="G440">
        <f>IF(A440="","",IF(F440="","",TODAY()-F440))</f>
        <v/>
      </c>
      <c r="H440">
        <f>IF(A440="","",IF(E440&lt;=0,"Out of stock",IF(E440&lt;=5,"Low stock",IF(AND(G440&lt;&gt;"",G440&gt;=30),"Slow moving","OK"))))</f>
        <v/>
      </c>
    </row>
    <row r="441">
      <c r="A441">
        <f>IF(Products!A441="","",Products!A441)</f>
        <v/>
      </c>
      <c r="B441">
        <f>IF(A441="","",Products!C441)</f>
        <v/>
      </c>
      <c r="C441">
        <f>IF(A441="","",SUMIFS(Lots!F:F,Lots!B:B,A441))</f>
        <v/>
      </c>
      <c r="D441">
        <f>IF(A441="","",SUMIFS(Sales!F:F,Sales!D:D,A441))</f>
        <v/>
      </c>
      <c r="E441">
        <f>IF(A441="","",C441-D441)</f>
        <v/>
      </c>
      <c r="F441" s="3">
        <f>IF(A441="","",IF(D441=0,"",_xlfn.MAXIFS(Sales!C:C,Sales!D:D,A441)))</f>
        <v/>
      </c>
      <c r="G441">
        <f>IF(A441="","",IF(F441="","",TODAY()-F441))</f>
        <v/>
      </c>
      <c r="H441">
        <f>IF(A441="","",IF(E441&lt;=0,"Out of stock",IF(E441&lt;=5,"Low stock",IF(AND(G441&lt;&gt;"",G441&gt;=30),"Slow moving","OK"))))</f>
        <v/>
      </c>
    </row>
    <row r="442">
      <c r="A442">
        <f>IF(Products!A442="","",Products!A442)</f>
        <v/>
      </c>
      <c r="B442">
        <f>IF(A442="","",Products!C442)</f>
        <v/>
      </c>
      <c r="C442">
        <f>IF(A442="","",SUMIFS(Lots!F:F,Lots!B:B,A442))</f>
        <v/>
      </c>
      <c r="D442">
        <f>IF(A442="","",SUMIFS(Sales!F:F,Sales!D:D,A442))</f>
        <v/>
      </c>
      <c r="E442">
        <f>IF(A442="","",C442-D442)</f>
        <v/>
      </c>
      <c r="F442" s="3">
        <f>IF(A442="","",IF(D442=0,"",_xlfn.MAXIFS(Sales!C:C,Sales!D:D,A442)))</f>
        <v/>
      </c>
      <c r="G442">
        <f>IF(A442="","",IF(F442="","",TODAY()-F442))</f>
        <v/>
      </c>
      <c r="H442">
        <f>IF(A442="","",IF(E442&lt;=0,"Out of stock",IF(E442&lt;=5,"Low stock",IF(AND(G442&lt;&gt;"",G442&gt;=30),"Slow moving","OK"))))</f>
        <v/>
      </c>
    </row>
    <row r="443">
      <c r="A443">
        <f>IF(Products!A443="","",Products!A443)</f>
        <v/>
      </c>
      <c r="B443">
        <f>IF(A443="","",Products!C443)</f>
        <v/>
      </c>
      <c r="C443">
        <f>IF(A443="","",SUMIFS(Lots!F:F,Lots!B:B,A443))</f>
        <v/>
      </c>
      <c r="D443">
        <f>IF(A443="","",SUMIFS(Sales!F:F,Sales!D:D,A443))</f>
        <v/>
      </c>
      <c r="E443">
        <f>IF(A443="","",C443-D443)</f>
        <v/>
      </c>
      <c r="F443" s="3">
        <f>IF(A443="","",IF(D443=0,"",_xlfn.MAXIFS(Sales!C:C,Sales!D:D,A443)))</f>
        <v/>
      </c>
      <c r="G443">
        <f>IF(A443="","",IF(F443="","",TODAY()-F443))</f>
        <v/>
      </c>
      <c r="H443">
        <f>IF(A443="","",IF(E443&lt;=0,"Out of stock",IF(E443&lt;=5,"Low stock",IF(AND(G443&lt;&gt;"",G443&gt;=30),"Slow moving","OK"))))</f>
        <v/>
      </c>
    </row>
    <row r="444">
      <c r="A444">
        <f>IF(Products!A444="","",Products!A444)</f>
        <v/>
      </c>
      <c r="B444">
        <f>IF(A444="","",Products!C444)</f>
        <v/>
      </c>
      <c r="C444">
        <f>IF(A444="","",SUMIFS(Lots!F:F,Lots!B:B,A444))</f>
        <v/>
      </c>
      <c r="D444">
        <f>IF(A444="","",SUMIFS(Sales!F:F,Sales!D:D,A444))</f>
        <v/>
      </c>
      <c r="E444">
        <f>IF(A444="","",C444-D444)</f>
        <v/>
      </c>
      <c r="F444" s="3">
        <f>IF(A444="","",IF(D444=0,"",_xlfn.MAXIFS(Sales!C:C,Sales!D:D,A444)))</f>
        <v/>
      </c>
      <c r="G444">
        <f>IF(A444="","",IF(F444="","",TODAY()-F444))</f>
        <v/>
      </c>
      <c r="H444">
        <f>IF(A444="","",IF(E444&lt;=0,"Out of stock",IF(E444&lt;=5,"Low stock",IF(AND(G444&lt;&gt;"",G444&gt;=30),"Slow moving","OK"))))</f>
        <v/>
      </c>
    </row>
    <row r="445">
      <c r="A445">
        <f>IF(Products!A445="","",Products!A445)</f>
        <v/>
      </c>
      <c r="B445">
        <f>IF(A445="","",Products!C445)</f>
        <v/>
      </c>
      <c r="C445">
        <f>IF(A445="","",SUMIFS(Lots!F:F,Lots!B:B,A445))</f>
        <v/>
      </c>
      <c r="D445">
        <f>IF(A445="","",SUMIFS(Sales!F:F,Sales!D:D,A445))</f>
        <v/>
      </c>
      <c r="E445">
        <f>IF(A445="","",C445-D445)</f>
        <v/>
      </c>
      <c r="F445" s="3">
        <f>IF(A445="","",IF(D445=0,"",_xlfn.MAXIFS(Sales!C:C,Sales!D:D,A445)))</f>
        <v/>
      </c>
      <c r="G445">
        <f>IF(A445="","",IF(F445="","",TODAY()-F445))</f>
        <v/>
      </c>
      <c r="H445">
        <f>IF(A445="","",IF(E445&lt;=0,"Out of stock",IF(E445&lt;=5,"Low stock",IF(AND(G445&lt;&gt;"",G445&gt;=30),"Slow moving","OK"))))</f>
        <v/>
      </c>
    </row>
    <row r="446">
      <c r="A446">
        <f>IF(Products!A446="","",Products!A446)</f>
        <v/>
      </c>
      <c r="B446">
        <f>IF(A446="","",Products!C446)</f>
        <v/>
      </c>
      <c r="C446">
        <f>IF(A446="","",SUMIFS(Lots!F:F,Lots!B:B,A446))</f>
        <v/>
      </c>
      <c r="D446">
        <f>IF(A446="","",SUMIFS(Sales!F:F,Sales!D:D,A446))</f>
        <v/>
      </c>
      <c r="E446">
        <f>IF(A446="","",C446-D446)</f>
        <v/>
      </c>
      <c r="F446" s="3">
        <f>IF(A446="","",IF(D446=0,"",_xlfn.MAXIFS(Sales!C:C,Sales!D:D,A446)))</f>
        <v/>
      </c>
      <c r="G446">
        <f>IF(A446="","",IF(F446="","",TODAY()-F446))</f>
        <v/>
      </c>
      <c r="H446">
        <f>IF(A446="","",IF(E446&lt;=0,"Out of stock",IF(E446&lt;=5,"Low stock",IF(AND(G446&lt;&gt;"",G446&gt;=30),"Slow moving","OK"))))</f>
        <v/>
      </c>
    </row>
    <row r="447">
      <c r="A447">
        <f>IF(Products!A447="","",Products!A447)</f>
        <v/>
      </c>
      <c r="B447">
        <f>IF(A447="","",Products!C447)</f>
        <v/>
      </c>
      <c r="C447">
        <f>IF(A447="","",SUMIFS(Lots!F:F,Lots!B:B,A447))</f>
        <v/>
      </c>
      <c r="D447">
        <f>IF(A447="","",SUMIFS(Sales!F:F,Sales!D:D,A447))</f>
        <v/>
      </c>
      <c r="E447">
        <f>IF(A447="","",C447-D447)</f>
        <v/>
      </c>
      <c r="F447" s="3">
        <f>IF(A447="","",IF(D447=0,"",_xlfn.MAXIFS(Sales!C:C,Sales!D:D,A447)))</f>
        <v/>
      </c>
      <c r="G447">
        <f>IF(A447="","",IF(F447="","",TODAY()-F447))</f>
        <v/>
      </c>
      <c r="H447">
        <f>IF(A447="","",IF(E447&lt;=0,"Out of stock",IF(E447&lt;=5,"Low stock",IF(AND(G447&lt;&gt;"",G447&gt;=30),"Slow moving","OK"))))</f>
        <v/>
      </c>
    </row>
    <row r="448">
      <c r="A448">
        <f>IF(Products!A448="","",Products!A448)</f>
        <v/>
      </c>
      <c r="B448">
        <f>IF(A448="","",Products!C448)</f>
        <v/>
      </c>
      <c r="C448">
        <f>IF(A448="","",SUMIFS(Lots!F:F,Lots!B:B,A448))</f>
        <v/>
      </c>
      <c r="D448">
        <f>IF(A448="","",SUMIFS(Sales!F:F,Sales!D:D,A448))</f>
        <v/>
      </c>
      <c r="E448">
        <f>IF(A448="","",C448-D448)</f>
        <v/>
      </c>
      <c r="F448" s="3">
        <f>IF(A448="","",IF(D448=0,"",_xlfn.MAXIFS(Sales!C:C,Sales!D:D,A448)))</f>
        <v/>
      </c>
      <c r="G448">
        <f>IF(A448="","",IF(F448="","",TODAY()-F448))</f>
        <v/>
      </c>
      <c r="H448">
        <f>IF(A448="","",IF(E448&lt;=0,"Out of stock",IF(E448&lt;=5,"Low stock",IF(AND(G448&lt;&gt;"",G448&gt;=30),"Slow moving","OK"))))</f>
        <v/>
      </c>
    </row>
    <row r="449">
      <c r="A449">
        <f>IF(Products!A449="","",Products!A449)</f>
        <v/>
      </c>
      <c r="B449">
        <f>IF(A449="","",Products!C449)</f>
        <v/>
      </c>
      <c r="C449">
        <f>IF(A449="","",SUMIFS(Lots!F:F,Lots!B:B,A449))</f>
        <v/>
      </c>
      <c r="D449">
        <f>IF(A449="","",SUMIFS(Sales!F:F,Sales!D:D,A449))</f>
        <v/>
      </c>
      <c r="E449">
        <f>IF(A449="","",C449-D449)</f>
        <v/>
      </c>
      <c r="F449" s="3">
        <f>IF(A449="","",IF(D449=0,"",_xlfn.MAXIFS(Sales!C:C,Sales!D:D,A449)))</f>
        <v/>
      </c>
      <c r="G449">
        <f>IF(A449="","",IF(F449="","",TODAY()-F449))</f>
        <v/>
      </c>
      <c r="H449">
        <f>IF(A449="","",IF(E449&lt;=0,"Out of stock",IF(E449&lt;=5,"Low stock",IF(AND(G449&lt;&gt;"",G449&gt;=30),"Slow moving","OK"))))</f>
        <v/>
      </c>
    </row>
    <row r="450">
      <c r="A450">
        <f>IF(Products!A450="","",Products!A450)</f>
        <v/>
      </c>
      <c r="B450">
        <f>IF(A450="","",Products!C450)</f>
        <v/>
      </c>
      <c r="C450">
        <f>IF(A450="","",SUMIFS(Lots!F:F,Lots!B:B,A450))</f>
        <v/>
      </c>
      <c r="D450">
        <f>IF(A450="","",SUMIFS(Sales!F:F,Sales!D:D,A450))</f>
        <v/>
      </c>
      <c r="E450">
        <f>IF(A450="","",C450-D450)</f>
        <v/>
      </c>
      <c r="F450" s="3">
        <f>IF(A450="","",IF(D450=0,"",_xlfn.MAXIFS(Sales!C:C,Sales!D:D,A450)))</f>
        <v/>
      </c>
      <c r="G450">
        <f>IF(A450="","",IF(F450="","",TODAY()-F450))</f>
        <v/>
      </c>
      <c r="H450">
        <f>IF(A450="","",IF(E450&lt;=0,"Out of stock",IF(E450&lt;=5,"Low stock",IF(AND(G450&lt;&gt;"",G450&gt;=30),"Slow moving","OK"))))</f>
        <v/>
      </c>
    </row>
    <row r="451">
      <c r="A451">
        <f>IF(Products!A451="","",Products!A451)</f>
        <v/>
      </c>
      <c r="B451">
        <f>IF(A451="","",Products!C451)</f>
        <v/>
      </c>
      <c r="C451">
        <f>IF(A451="","",SUMIFS(Lots!F:F,Lots!B:B,A451))</f>
        <v/>
      </c>
      <c r="D451">
        <f>IF(A451="","",SUMIFS(Sales!F:F,Sales!D:D,A451))</f>
        <v/>
      </c>
      <c r="E451">
        <f>IF(A451="","",C451-D451)</f>
        <v/>
      </c>
      <c r="F451" s="3">
        <f>IF(A451="","",IF(D451=0,"",_xlfn.MAXIFS(Sales!C:C,Sales!D:D,A451)))</f>
        <v/>
      </c>
      <c r="G451">
        <f>IF(A451="","",IF(F451="","",TODAY()-F451))</f>
        <v/>
      </c>
      <c r="H451">
        <f>IF(A451="","",IF(E451&lt;=0,"Out of stock",IF(E451&lt;=5,"Low stock",IF(AND(G451&lt;&gt;"",G451&gt;=30),"Slow moving","OK"))))</f>
        <v/>
      </c>
    </row>
    <row r="452">
      <c r="A452">
        <f>IF(Products!A452="","",Products!A452)</f>
        <v/>
      </c>
      <c r="B452">
        <f>IF(A452="","",Products!C452)</f>
        <v/>
      </c>
      <c r="C452">
        <f>IF(A452="","",SUMIFS(Lots!F:F,Lots!B:B,A452))</f>
        <v/>
      </c>
      <c r="D452">
        <f>IF(A452="","",SUMIFS(Sales!F:F,Sales!D:D,A452))</f>
        <v/>
      </c>
      <c r="E452">
        <f>IF(A452="","",C452-D452)</f>
        <v/>
      </c>
      <c r="F452" s="3">
        <f>IF(A452="","",IF(D452=0,"",_xlfn.MAXIFS(Sales!C:C,Sales!D:D,A452)))</f>
        <v/>
      </c>
      <c r="G452">
        <f>IF(A452="","",IF(F452="","",TODAY()-F452))</f>
        <v/>
      </c>
      <c r="H452">
        <f>IF(A452="","",IF(E452&lt;=0,"Out of stock",IF(E452&lt;=5,"Low stock",IF(AND(G452&lt;&gt;"",G452&gt;=30),"Slow moving","OK"))))</f>
        <v/>
      </c>
    </row>
    <row r="453">
      <c r="A453">
        <f>IF(Products!A453="","",Products!A453)</f>
        <v/>
      </c>
      <c r="B453">
        <f>IF(A453="","",Products!C453)</f>
        <v/>
      </c>
      <c r="C453">
        <f>IF(A453="","",SUMIFS(Lots!F:F,Lots!B:B,A453))</f>
        <v/>
      </c>
      <c r="D453">
        <f>IF(A453="","",SUMIFS(Sales!F:F,Sales!D:D,A453))</f>
        <v/>
      </c>
      <c r="E453">
        <f>IF(A453="","",C453-D453)</f>
        <v/>
      </c>
      <c r="F453" s="3">
        <f>IF(A453="","",IF(D453=0,"",_xlfn.MAXIFS(Sales!C:C,Sales!D:D,A453)))</f>
        <v/>
      </c>
      <c r="G453">
        <f>IF(A453="","",IF(F453="","",TODAY()-F453))</f>
        <v/>
      </c>
      <c r="H453">
        <f>IF(A453="","",IF(E453&lt;=0,"Out of stock",IF(E453&lt;=5,"Low stock",IF(AND(G453&lt;&gt;"",G453&gt;=30),"Slow moving","OK"))))</f>
        <v/>
      </c>
    </row>
    <row r="454">
      <c r="A454">
        <f>IF(Products!A454="","",Products!A454)</f>
        <v/>
      </c>
      <c r="B454">
        <f>IF(A454="","",Products!C454)</f>
        <v/>
      </c>
      <c r="C454">
        <f>IF(A454="","",SUMIFS(Lots!F:F,Lots!B:B,A454))</f>
        <v/>
      </c>
      <c r="D454">
        <f>IF(A454="","",SUMIFS(Sales!F:F,Sales!D:D,A454))</f>
        <v/>
      </c>
      <c r="E454">
        <f>IF(A454="","",C454-D454)</f>
        <v/>
      </c>
      <c r="F454" s="3">
        <f>IF(A454="","",IF(D454=0,"",_xlfn.MAXIFS(Sales!C:C,Sales!D:D,A454)))</f>
        <v/>
      </c>
      <c r="G454">
        <f>IF(A454="","",IF(F454="","",TODAY()-F454))</f>
        <v/>
      </c>
      <c r="H454">
        <f>IF(A454="","",IF(E454&lt;=0,"Out of stock",IF(E454&lt;=5,"Low stock",IF(AND(G454&lt;&gt;"",G454&gt;=30),"Slow moving","OK"))))</f>
        <v/>
      </c>
    </row>
    <row r="455">
      <c r="A455">
        <f>IF(Products!A455="","",Products!A455)</f>
        <v/>
      </c>
      <c r="B455">
        <f>IF(A455="","",Products!C455)</f>
        <v/>
      </c>
      <c r="C455">
        <f>IF(A455="","",SUMIFS(Lots!F:F,Lots!B:B,A455))</f>
        <v/>
      </c>
      <c r="D455">
        <f>IF(A455="","",SUMIFS(Sales!F:F,Sales!D:D,A455))</f>
        <v/>
      </c>
      <c r="E455">
        <f>IF(A455="","",C455-D455)</f>
        <v/>
      </c>
      <c r="F455" s="3">
        <f>IF(A455="","",IF(D455=0,"",_xlfn.MAXIFS(Sales!C:C,Sales!D:D,A455)))</f>
        <v/>
      </c>
      <c r="G455">
        <f>IF(A455="","",IF(F455="","",TODAY()-F455))</f>
        <v/>
      </c>
      <c r="H455">
        <f>IF(A455="","",IF(E455&lt;=0,"Out of stock",IF(E455&lt;=5,"Low stock",IF(AND(G455&lt;&gt;"",G455&gt;=30),"Slow moving","OK"))))</f>
        <v/>
      </c>
    </row>
    <row r="456">
      <c r="A456">
        <f>IF(Products!A456="","",Products!A456)</f>
        <v/>
      </c>
      <c r="B456">
        <f>IF(A456="","",Products!C456)</f>
        <v/>
      </c>
      <c r="C456">
        <f>IF(A456="","",SUMIFS(Lots!F:F,Lots!B:B,A456))</f>
        <v/>
      </c>
      <c r="D456">
        <f>IF(A456="","",SUMIFS(Sales!F:F,Sales!D:D,A456))</f>
        <v/>
      </c>
      <c r="E456">
        <f>IF(A456="","",C456-D456)</f>
        <v/>
      </c>
      <c r="F456" s="3">
        <f>IF(A456="","",IF(D456=0,"",_xlfn.MAXIFS(Sales!C:C,Sales!D:D,A456)))</f>
        <v/>
      </c>
      <c r="G456">
        <f>IF(A456="","",IF(F456="","",TODAY()-F456))</f>
        <v/>
      </c>
      <c r="H456">
        <f>IF(A456="","",IF(E456&lt;=0,"Out of stock",IF(E456&lt;=5,"Low stock",IF(AND(G456&lt;&gt;"",G456&gt;=30),"Slow moving","OK"))))</f>
        <v/>
      </c>
    </row>
    <row r="457">
      <c r="A457">
        <f>IF(Products!A457="","",Products!A457)</f>
        <v/>
      </c>
      <c r="B457">
        <f>IF(A457="","",Products!C457)</f>
        <v/>
      </c>
      <c r="C457">
        <f>IF(A457="","",SUMIFS(Lots!F:F,Lots!B:B,A457))</f>
        <v/>
      </c>
      <c r="D457">
        <f>IF(A457="","",SUMIFS(Sales!F:F,Sales!D:D,A457))</f>
        <v/>
      </c>
      <c r="E457">
        <f>IF(A457="","",C457-D457)</f>
        <v/>
      </c>
      <c r="F457" s="3">
        <f>IF(A457="","",IF(D457=0,"",_xlfn.MAXIFS(Sales!C:C,Sales!D:D,A457)))</f>
        <v/>
      </c>
      <c r="G457">
        <f>IF(A457="","",IF(F457="","",TODAY()-F457))</f>
        <v/>
      </c>
      <c r="H457">
        <f>IF(A457="","",IF(E457&lt;=0,"Out of stock",IF(E457&lt;=5,"Low stock",IF(AND(G457&lt;&gt;"",G457&gt;=30),"Slow moving","OK"))))</f>
        <v/>
      </c>
    </row>
    <row r="458">
      <c r="A458">
        <f>IF(Products!A458="","",Products!A458)</f>
        <v/>
      </c>
      <c r="B458">
        <f>IF(A458="","",Products!C458)</f>
        <v/>
      </c>
      <c r="C458">
        <f>IF(A458="","",SUMIFS(Lots!F:F,Lots!B:B,A458))</f>
        <v/>
      </c>
      <c r="D458">
        <f>IF(A458="","",SUMIFS(Sales!F:F,Sales!D:D,A458))</f>
        <v/>
      </c>
      <c r="E458">
        <f>IF(A458="","",C458-D458)</f>
        <v/>
      </c>
      <c r="F458" s="3">
        <f>IF(A458="","",IF(D458=0,"",_xlfn.MAXIFS(Sales!C:C,Sales!D:D,A458)))</f>
        <v/>
      </c>
      <c r="G458">
        <f>IF(A458="","",IF(F458="","",TODAY()-F458))</f>
        <v/>
      </c>
      <c r="H458">
        <f>IF(A458="","",IF(E458&lt;=0,"Out of stock",IF(E458&lt;=5,"Low stock",IF(AND(G458&lt;&gt;"",G458&gt;=30),"Slow moving","OK"))))</f>
        <v/>
      </c>
    </row>
    <row r="459">
      <c r="A459">
        <f>IF(Products!A459="","",Products!A459)</f>
        <v/>
      </c>
      <c r="B459">
        <f>IF(A459="","",Products!C459)</f>
        <v/>
      </c>
      <c r="C459">
        <f>IF(A459="","",SUMIFS(Lots!F:F,Lots!B:B,A459))</f>
        <v/>
      </c>
      <c r="D459">
        <f>IF(A459="","",SUMIFS(Sales!F:F,Sales!D:D,A459))</f>
        <v/>
      </c>
      <c r="E459">
        <f>IF(A459="","",C459-D459)</f>
        <v/>
      </c>
      <c r="F459" s="3">
        <f>IF(A459="","",IF(D459=0,"",_xlfn.MAXIFS(Sales!C:C,Sales!D:D,A459)))</f>
        <v/>
      </c>
      <c r="G459">
        <f>IF(A459="","",IF(F459="","",TODAY()-F459))</f>
        <v/>
      </c>
      <c r="H459">
        <f>IF(A459="","",IF(E459&lt;=0,"Out of stock",IF(E459&lt;=5,"Low stock",IF(AND(G459&lt;&gt;"",G459&gt;=30),"Slow moving","OK"))))</f>
        <v/>
      </c>
    </row>
    <row r="460">
      <c r="A460">
        <f>IF(Products!A460="","",Products!A460)</f>
        <v/>
      </c>
      <c r="B460">
        <f>IF(A460="","",Products!C460)</f>
        <v/>
      </c>
      <c r="C460">
        <f>IF(A460="","",SUMIFS(Lots!F:F,Lots!B:B,A460))</f>
        <v/>
      </c>
      <c r="D460">
        <f>IF(A460="","",SUMIFS(Sales!F:F,Sales!D:D,A460))</f>
        <v/>
      </c>
      <c r="E460">
        <f>IF(A460="","",C460-D460)</f>
        <v/>
      </c>
      <c r="F460" s="3">
        <f>IF(A460="","",IF(D460=0,"",_xlfn.MAXIFS(Sales!C:C,Sales!D:D,A460)))</f>
        <v/>
      </c>
      <c r="G460">
        <f>IF(A460="","",IF(F460="","",TODAY()-F460))</f>
        <v/>
      </c>
      <c r="H460">
        <f>IF(A460="","",IF(E460&lt;=0,"Out of stock",IF(E460&lt;=5,"Low stock",IF(AND(G460&lt;&gt;"",G460&gt;=30),"Slow moving","OK"))))</f>
        <v/>
      </c>
    </row>
    <row r="461">
      <c r="A461">
        <f>IF(Products!A461="","",Products!A461)</f>
        <v/>
      </c>
      <c r="B461">
        <f>IF(A461="","",Products!C461)</f>
        <v/>
      </c>
      <c r="C461">
        <f>IF(A461="","",SUMIFS(Lots!F:F,Lots!B:B,A461))</f>
        <v/>
      </c>
      <c r="D461">
        <f>IF(A461="","",SUMIFS(Sales!F:F,Sales!D:D,A461))</f>
        <v/>
      </c>
      <c r="E461">
        <f>IF(A461="","",C461-D461)</f>
        <v/>
      </c>
      <c r="F461" s="3">
        <f>IF(A461="","",IF(D461=0,"",_xlfn.MAXIFS(Sales!C:C,Sales!D:D,A461)))</f>
        <v/>
      </c>
      <c r="G461">
        <f>IF(A461="","",IF(F461="","",TODAY()-F461))</f>
        <v/>
      </c>
      <c r="H461">
        <f>IF(A461="","",IF(E461&lt;=0,"Out of stock",IF(E461&lt;=5,"Low stock",IF(AND(G461&lt;&gt;"",G461&gt;=30),"Slow moving","OK"))))</f>
        <v/>
      </c>
    </row>
    <row r="462">
      <c r="A462">
        <f>IF(Products!A462="","",Products!A462)</f>
        <v/>
      </c>
      <c r="B462">
        <f>IF(A462="","",Products!C462)</f>
        <v/>
      </c>
      <c r="C462">
        <f>IF(A462="","",SUMIFS(Lots!F:F,Lots!B:B,A462))</f>
        <v/>
      </c>
      <c r="D462">
        <f>IF(A462="","",SUMIFS(Sales!F:F,Sales!D:D,A462))</f>
        <v/>
      </c>
      <c r="E462">
        <f>IF(A462="","",C462-D462)</f>
        <v/>
      </c>
      <c r="F462" s="3">
        <f>IF(A462="","",IF(D462=0,"",_xlfn.MAXIFS(Sales!C:C,Sales!D:D,A462)))</f>
        <v/>
      </c>
      <c r="G462">
        <f>IF(A462="","",IF(F462="","",TODAY()-F462))</f>
        <v/>
      </c>
      <c r="H462">
        <f>IF(A462="","",IF(E462&lt;=0,"Out of stock",IF(E462&lt;=5,"Low stock",IF(AND(G462&lt;&gt;"",G462&gt;=30),"Slow moving","OK"))))</f>
        <v/>
      </c>
    </row>
    <row r="463">
      <c r="A463">
        <f>IF(Products!A463="","",Products!A463)</f>
        <v/>
      </c>
      <c r="B463">
        <f>IF(A463="","",Products!C463)</f>
        <v/>
      </c>
      <c r="C463">
        <f>IF(A463="","",SUMIFS(Lots!F:F,Lots!B:B,A463))</f>
        <v/>
      </c>
      <c r="D463">
        <f>IF(A463="","",SUMIFS(Sales!F:F,Sales!D:D,A463))</f>
        <v/>
      </c>
      <c r="E463">
        <f>IF(A463="","",C463-D463)</f>
        <v/>
      </c>
      <c r="F463" s="3">
        <f>IF(A463="","",IF(D463=0,"",_xlfn.MAXIFS(Sales!C:C,Sales!D:D,A463)))</f>
        <v/>
      </c>
      <c r="G463">
        <f>IF(A463="","",IF(F463="","",TODAY()-F463))</f>
        <v/>
      </c>
      <c r="H463">
        <f>IF(A463="","",IF(E463&lt;=0,"Out of stock",IF(E463&lt;=5,"Low stock",IF(AND(G463&lt;&gt;"",G463&gt;=30),"Slow moving","OK"))))</f>
        <v/>
      </c>
    </row>
    <row r="464">
      <c r="A464">
        <f>IF(Products!A464="","",Products!A464)</f>
        <v/>
      </c>
      <c r="B464">
        <f>IF(A464="","",Products!C464)</f>
        <v/>
      </c>
      <c r="C464">
        <f>IF(A464="","",SUMIFS(Lots!F:F,Lots!B:B,A464))</f>
        <v/>
      </c>
      <c r="D464">
        <f>IF(A464="","",SUMIFS(Sales!F:F,Sales!D:D,A464))</f>
        <v/>
      </c>
      <c r="E464">
        <f>IF(A464="","",C464-D464)</f>
        <v/>
      </c>
      <c r="F464" s="3">
        <f>IF(A464="","",IF(D464=0,"",_xlfn.MAXIFS(Sales!C:C,Sales!D:D,A464)))</f>
        <v/>
      </c>
      <c r="G464">
        <f>IF(A464="","",IF(F464="","",TODAY()-F464))</f>
        <v/>
      </c>
      <c r="H464">
        <f>IF(A464="","",IF(E464&lt;=0,"Out of stock",IF(E464&lt;=5,"Low stock",IF(AND(G464&lt;&gt;"",G464&gt;=30),"Slow moving","OK"))))</f>
        <v/>
      </c>
    </row>
    <row r="465">
      <c r="A465">
        <f>IF(Products!A465="","",Products!A465)</f>
        <v/>
      </c>
      <c r="B465">
        <f>IF(A465="","",Products!C465)</f>
        <v/>
      </c>
      <c r="C465">
        <f>IF(A465="","",SUMIFS(Lots!F:F,Lots!B:B,A465))</f>
        <v/>
      </c>
      <c r="D465">
        <f>IF(A465="","",SUMIFS(Sales!F:F,Sales!D:D,A465))</f>
        <v/>
      </c>
      <c r="E465">
        <f>IF(A465="","",C465-D465)</f>
        <v/>
      </c>
      <c r="F465" s="3">
        <f>IF(A465="","",IF(D465=0,"",_xlfn.MAXIFS(Sales!C:C,Sales!D:D,A465)))</f>
        <v/>
      </c>
      <c r="G465">
        <f>IF(A465="","",IF(F465="","",TODAY()-F465))</f>
        <v/>
      </c>
      <c r="H465">
        <f>IF(A465="","",IF(E465&lt;=0,"Out of stock",IF(E465&lt;=5,"Low stock",IF(AND(G465&lt;&gt;"",G465&gt;=30),"Slow moving","OK"))))</f>
        <v/>
      </c>
    </row>
    <row r="466">
      <c r="A466">
        <f>IF(Products!A466="","",Products!A466)</f>
        <v/>
      </c>
      <c r="B466">
        <f>IF(A466="","",Products!C466)</f>
        <v/>
      </c>
      <c r="C466">
        <f>IF(A466="","",SUMIFS(Lots!F:F,Lots!B:B,A466))</f>
        <v/>
      </c>
      <c r="D466">
        <f>IF(A466="","",SUMIFS(Sales!F:F,Sales!D:D,A466))</f>
        <v/>
      </c>
      <c r="E466">
        <f>IF(A466="","",C466-D466)</f>
        <v/>
      </c>
      <c r="F466" s="3">
        <f>IF(A466="","",IF(D466=0,"",_xlfn.MAXIFS(Sales!C:C,Sales!D:D,A466)))</f>
        <v/>
      </c>
      <c r="G466">
        <f>IF(A466="","",IF(F466="","",TODAY()-F466))</f>
        <v/>
      </c>
      <c r="H466">
        <f>IF(A466="","",IF(E466&lt;=0,"Out of stock",IF(E466&lt;=5,"Low stock",IF(AND(G466&lt;&gt;"",G466&gt;=30),"Slow moving","OK"))))</f>
        <v/>
      </c>
    </row>
    <row r="467">
      <c r="A467">
        <f>IF(Products!A467="","",Products!A467)</f>
        <v/>
      </c>
      <c r="B467">
        <f>IF(A467="","",Products!C467)</f>
        <v/>
      </c>
      <c r="C467">
        <f>IF(A467="","",SUMIFS(Lots!F:F,Lots!B:B,A467))</f>
        <v/>
      </c>
      <c r="D467">
        <f>IF(A467="","",SUMIFS(Sales!F:F,Sales!D:D,A467))</f>
        <v/>
      </c>
      <c r="E467">
        <f>IF(A467="","",C467-D467)</f>
        <v/>
      </c>
      <c r="F467" s="3">
        <f>IF(A467="","",IF(D467=0,"",_xlfn.MAXIFS(Sales!C:C,Sales!D:D,A467)))</f>
        <v/>
      </c>
      <c r="G467">
        <f>IF(A467="","",IF(F467="","",TODAY()-F467))</f>
        <v/>
      </c>
      <c r="H467">
        <f>IF(A467="","",IF(E467&lt;=0,"Out of stock",IF(E467&lt;=5,"Low stock",IF(AND(G467&lt;&gt;"",G467&gt;=30),"Slow moving","OK"))))</f>
        <v/>
      </c>
    </row>
    <row r="468">
      <c r="A468">
        <f>IF(Products!A468="","",Products!A468)</f>
        <v/>
      </c>
      <c r="B468">
        <f>IF(A468="","",Products!C468)</f>
        <v/>
      </c>
      <c r="C468">
        <f>IF(A468="","",SUMIFS(Lots!F:F,Lots!B:B,A468))</f>
        <v/>
      </c>
      <c r="D468">
        <f>IF(A468="","",SUMIFS(Sales!F:F,Sales!D:D,A468))</f>
        <v/>
      </c>
      <c r="E468">
        <f>IF(A468="","",C468-D468)</f>
        <v/>
      </c>
      <c r="F468" s="3">
        <f>IF(A468="","",IF(D468=0,"",_xlfn.MAXIFS(Sales!C:C,Sales!D:D,A468)))</f>
        <v/>
      </c>
      <c r="G468">
        <f>IF(A468="","",IF(F468="","",TODAY()-F468))</f>
        <v/>
      </c>
      <c r="H468">
        <f>IF(A468="","",IF(E468&lt;=0,"Out of stock",IF(E468&lt;=5,"Low stock",IF(AND(G468&lt;&gt;"",G468&gt;=30),"Slow moving","OK"))))</f>
        <v/>
      </c>
    </row>
    <row r="469">
      <c r="A469">
        <f>IF(Products!A469="","",Products!A469)</f>
        <v/>
      </c>
      <c r="B469">
        <f>IF(A469="","",Products!C469)</f>
        <v/>
      </c>
      <c r="C469">
        <f>IF(A469="","",SUMIFS(Lots!F:F,Lots!B:B,A469))</f>
        <v/>
      </c>
      <c r="D469">
        <f>IF(A469="","",SUMIFS(Sales!F:F,Sales!D:D,A469))</f>
        <v/>
      </c>
      <c r="E469">
        <f>IF(A469="","",C469-D469)</f>
        <v/>
      </c>
      <c r="F469" s="3">
        <f>IF(A469="","",IF(D469=0,"",_xlfn.MAXIFS(Sales!C:C,Sales!D:D,A469)))</f>
        <v/>
      </c>
      <c r="G469">
        <f>IF(A469="","",IF(F469="","",TODAY()-F469))</f>
        <v/>
      </c>
      <c r="H469">
        <f>IF(A469="","",IF(E469&lt;=0,"Out of stock",IF(E469&lt;=5,"Low stock",IF(AND(G469&lt;&gt;"",G469&gt;=30),"Slow moving","OK"))))</f>
        <v/>
      </c>
    </row>
    <row r="470">
      <c r="A470">
        <f>IF(Products!A470="","",Products!A470)</f>
        <v/>
      </c>
      <c r="B470">
        <f>IF(A470="","",Products!C470)</f>
        <v/>
      </c>
      <c r="C470">
        <f>IF(A470="","",SUMIFS(Lots!F:F,Lots!B:B,A470))</f>
        <v/>
      </c>
      <c r="D470">
        <f>IF(A470="","",SUMIFS(Sales!F:F,Sales!D:D,A470))</f>
        <v/>
      </c>
      <c r="E470">
        <f>IF(A470="","",C470-D470)</f>
        <v/>
      </c>
      <c r="F470" s="3">
        <f>IF(A470="","",IF(D470=0,"",_xlfn.MAXIFS(Sales!C:C,Sales!D:D,A470)))</f>
        <v/>
      </c>
      <c r="G470">
        <f>IF(A470="","",IF(F470="","",TODAY()-F470))</f>
        <v/>
      </c>
      <c r="H470">
        <f>IF(A470="","",IF(E470&lt;=0,"Out of stock",IF(E470&lt;=5,"Low stock",IF(AND(G470&lt;&gt;"",G470&gt;=30),"Slow moving","OK"))))</f>
        <v/>
      </c>
    </row>
    <row r="471">
      <c r="A471">
        <f>IF(Products!A471="","",Products!A471)</f>
        <v/>
      </c>
      <c r="B471">
        <f>IF(A471="","",Products!C471)</f>
        <v/>
      </c>
      <c r="C471">
        <f>IF(A471="","",SUMIFS(Lots!F:F,Lots!B:B,A471))</f>
        <v/>
      </c>
      <c r="D471">
        <f>IF(A471="","",SUMIFS(Sales!F:F,Sales!D:D,A471))</f>
        <v/>
      </c>
      <c r="E471">
        <f>IF(A471="","",C471-D471)</f>
        <v/>
      </c>
      <c r="F471" s="3">
        <f>IF(A471="","",IF(D471=0,"",_xlfn.MAXIFS(Sales!C:C,Sales!D:D,A471)))</f>
        <v/>
      </c>
      <c r="G471">
        <f>IF(A471="","",IF(F471="","",TODAY()-F471))</f>
        <v/>
      </c>
      <c r="H471">
        <f>IF(A471="","",IF(E471&lt;=0,"Out of stock",IF(E471&lt;=5,"Low stock",IF(AND(G471&lt;&gt;"",G471&gt;=30),"Slow moving","OK"))))</f>
        <v/>
      </c>
    </row>
    <row r="472">
      <c r="A472">
        <f>IF(Products!A472="","",Products!A472)</f>
        <v/>
      </c>
      <c r="B472">
        <f>IF(A472="","",Products!C472)</f>
        <v/>
      </c>
      <c r="C472">
        <f>IF(A472="","",SUMIFS(Lots!F:F,Lots!B:B,A472))</f>
        <v/>
      </c>
      <c r="D472">
        <f>IF(A472="","",SUMIFS(Sales!F:F,Sales!D:D,A472))</f>
        <v/>
      </c>
      <c r="E472">
        <f>IF(A472="","",C472-D472)</f>
        <v/>
      </c>
      <c r="F472" s="3">
        <f>IF(A472="","",IF(D472=0,"",_xlfn.MAXIFS(Sales!C:C,Sales!D:D,A472)))</f>
        <v/>
      </c>
      <c r="G472">
        <f>IF(A472="","",IF(F472="","",TODAY()-F472))</f>
        <v/>
      </c>
      <c r="H472">
        <f>IF(A472="","",IF(E472&lt;=0,"Out of stock",IF(E472&lt;=5,"Low stock",IF(AND(G472&lt;&gt;"",G472&gt;=30),"Slow moving","OK"))))</f>
        <v/>
      </c>
    </row>
    <row r="473">
      <c r="A473">
        <f>IF(Products!A473="","",Products!A473)</f>
        <v/>
      </c>
      <c r="B473">
        <f>IF(A473="","",Products!C473)</f>
        <v/>
      </c>
      <c r="C473">
        <f>IF(A473="","",SUMIFS(Lots!F:F,Lots!B:B,A473))</f>
        <v/>
      </c>
      <c r="D473">
        <f>IF(A473="","",SUMIFS(Sales!F:F,Sales!D:D,A473))</f>
        <v/>
      </c>
      <c r="E473">
        <f>IF(A473="","",C473-D473)</f>
        <v/>
      </c>
      <c r="F473" s="3">
        <f>IF(A473="","",IF(D473=0,"",_xlfn.MAXIFS(Sales!C:C,Sales!D:D,A473)))</f>
        <v/>
      </c>
      <c r="G473">
        <f>IF(A473="","",IF(F473="","",TODAY()-F473))</f>
        <v/>
      </c>
      <c r="H473">
        <f>IF(A473="","",IF(E473&lt;=0,"Out of stock",IF(E473&lt;=5,"Low stock",IF(AND(G473&lt;&gt;"",G473&gt;=30),"Slow moving","OK"))))</f>
        <v/>
      </c>
    </row>
    <row r="474">
      <c r="A474">
        <f>IF(Products!A474="","",Products!A474)</f>
        <v/>
      </c>
      <c r="B474">
        <f>IF(A474="","",Products!C474)</f>
        <v/>
      </c>
      <c r="C474">
        <f>IF(A474="","",SUMIFS(Lots!F:F,Lots!B:B,A474))</f>
        <v/>
      </c>
      <c r="D474">
        <f>IF(A474="","",SUMIFS(Sales!F:F,Sales!D:D,A474))</f>
        <v/>
      </c>
      <c r="E474">
        <f>IF(A474="","",C474-D474)</f>
        <v/>
      </c>
      <c r="F474" s="3">
        <f>IF(A474="","",IF(D474=0,"",_xlfn.MAXIFS(Sales!C:C,Sales!D:D,A474)))</f>
        <v/>
      </c>
      <c r="G474">
        <f>IF(A474="","",IF(F474="","",TODAY()-F474))</f>
        <v/>
      </c>
      <c r="H474">
        <f>IF(A474="","",IF(E474&lt;=0,"Out of stock",IF(E474&lt;=5,"Low stock",IF(AND(G474&lt;&gt;"",G474&gt;=30),"Slow moving","OK"))))</f>
        <v/>
      </c>
    </row>
    <row r="475">
      <c r="A475">
        <f>IF(Products!A475="","",Products!A475)</f>
        <v/>
      </c>
      <c r="B475">
        <f>IF(A475="","",Products!C475)</f>
        <v/>
      </c>
      <c r="C475">
        <f>IF(A475="","",SUMIFS(Lots!F:F,Lots!B:B,A475))</f>
        <v/>
      </c>
      <c r="D475">
        <f>IF(A475="","",SUMIFS(Sales!F:F,Sales!D:D,A475))</f>
        <v/>
      </c>
      <c r="E475">
        <f>IF(A475="","",C475-D475)</f>
        <v/>
      </c>
      <c r="F475" s="3">
        <f>IF(A475="","",IF(D475=0,"",_xlfn.MAXIFS(Sales!C:C,Sales!D:D,A475)))</f>
        <v/>
      </c>
      <c r="G475">
        <f>IF(A475="","",IF(F475="","",TODAY()-F475))</f>
        <v/>
      </c>
      <c r="H475">
        <f>IF(A475="","",IF(E475&lt;=0,"Out of stock",IF(E475&lt;=5,"Low stock",IF(AND(G475&lt;&gt;"",G475&gt;=30),"Slow moving","OK"))))</f>
        <v/>
      </c>
    </row>
    <row r="476">
      <c r="A476">
        <f>IF(Products!A476="","",Products!A476)</f>
        <v/>
      </c>
      <c r="B476">
        <f>IF(A476="","",Products!C476)</f>
        <v/>
      </c>
      <c r="C476">
        <f>IF(A476="","",SUMIFS(Lots!F:F,Lots!B:B,A476))</f>
        <v/>
      </c>
      <c r="D476">
        <f>IF(A476="","",SUMIFS(Sales!F:F,Sales!D:D,A476))</f>
        <v/>
      </c>
      <c r="E476">
        <f>IF(A476="","",C476-D476)</f>
        <v/>
      </c>
      <c r="F476" s="3">
        <f>IF(A476="","",IF(D476=0,"",_xlfn.MAXIFS(Sales!C:C,Sales!D:D,A476)))</f>
        <v/>
      </c>
      <c r="G476">
        <f>IF(A476="","",IF(F476="","",TODAY()-F476))</f>
        <v/>
      </c>
      <c r="H476">
        <f>IF(A476="","",IF(E476&lt;=0,"Out of stock",IF(E476&lt;=5,"Low stock",IF(AND(G476&lt;&gt;"",G476&gt;=30),"Slow moving","OK"))))</f>
        <v/>
      </c>
    </row>
    <row r="477">
      <c r="A477">
        <f>IF(Products!A477="","",Products!A477)</f>
        <v/>
      </c>
      <c r="B477">
        <f>IF(A477="","",Products!C477)</f>
        <v/>
      </c>
      <c r="C477">
        <f>IF(A477="","",SUMIFS(Lots!F:F,Lots!B:B,A477))</f>
        <v/>
      </c>
      <c r="D477">
        <f>IF(A477="","",SUMIFS(Sales!F:F,Sales!D:D,A477))</f>
        <v/>
      </c>
      <c r="E477">
        <f>IF(A477="","",C477-D477)</f>
        <v/>
      </c>
      <c r="F477" s="3">
        <f>IF(A477="","",IF(D477=0,"",_xlfn.MAXIFS(Sales!C:C,Sales!D:D,A477)))</f>
        <v/>
      </c>
      <c r="G477">
        <f>IF(A477="","",IF(F477="","",TODAY()-F477))</f>
        <v/>
      </c>
      <c r="H477">
        <f>IF(A477="","",IF(E477&lt;=0,"Out of stock",IF(E477&lt;=5,"Low stock",IF(AND(G477&lt;&gt;"",G477&gt;=30),"Slow moving","OK"))))</f>
        <v/>
      </c>
    </row>
    <row r="478">
      <c r="A478">
        <f>IF(Products!A478="","",Products!A478)</f>
        <v/>
      </c>
      <c r="B478">
        <f>IF(A478="","",Products!C478)</f>
        <v/>
      </c>
      <c r="C478">
        <f>IF(A478="","",SUMIFS(Lots!F:F,Lots!B:B,A478))</f>
        <v/>
      </c>
      <c r="D478">
        <f>IF(A478="","",SUMIFS(Sales!F:F,Sales!D:D,A478))</f>
        <v/>
      </c>
      <c r="E478">
        <f>IF(A478="","",C478-D478)</f>
        <v/>
      </c>
      <c r="F478" s="3">
        <f>IF(A478="","",IF(D478=0,"",_xlfn.MAXIFS(Sales!C:C,Sales!D:D,A478)))</f>
        <v/>
      </c>
      <c r="G478">
        <f>IF(A478="","",IF(F478="","",TODAY()-F478))</f>
        <v/>
      </c>
      <c r="H478">
        <f>IF(A478="","",IF(E478&lt;=0,"Out of stock",IF(E478&lt;=5,"Low stock",IF(AND(G478&lt;&gt;"",G478&gt;=30),"Slow moving","OK"))))</f>
        <v/>
      </c>
    </row>
    <row r="479">
      <c r="A479">
        <f>IF(Products!A479="","",Products!A479)</f>
        <v/>
      </c>
      <c r="B479">
        <f>IF(A479="","",Products!C479)</f>
        <v/>
      </c>
      <c r="C479">
        <f>IF(A479="","",SUMIFS(Lots!F:F,Lots!B:B,A479))</f>
        <v/>
      </c>
      <c r="D479">
        <f>IF(A479="","",SUMIFS(Sales!F:F,Sales!D:D,A479))</f>
        <v/>
      </c>
      <c r="E479">
        <f>IF(A479="","",C479-D479)</f>
        <v/>
      </c>
      <c r="F479" s="3">
        <f>IF(A479="","",IF(D479=0,"",_xlfn.MAXIFS(Sales!C:C,Sales!D:D,A479)))</f>
        <v/>
      </c>
      <c r="G479">
        <f>IF(A479="","",IF(F479="","",TODAY()-F479))</f>
        <v/>
      </c>
      <c r="H479">
        <f>IF(A479="","",IF(E479&lt;=0,"Out of stock",IF(E479&lt;=5,"Low stock",IF(AND(G479&lt;&gt;"",G479&gt;=30),"Slow moving","OK"))))</f>
        <v/>
      </c>
    </row>
    <row r="480">
      <c r="A480">
        <f>IF(Products!A480="","",Products!A480)</f>
        <v/>
      </c>
      <c r="B480">
        <f>IF(A480="","",Products!C480)</f>
        <v/>
      </c>
      <c r="C480">
        <f>IF(A480="","",SUMIFS(Lots!F:F,Lots!B:B,A480))</f>
        <v/>
      </c>
      <c r="D480">
        <f>IF(A480="","",SUMIFS(Sales!F:F,Sales!D:D,A480))</f>
        <v/>
      </c>
      <c r="E480">
        <f>IF(A480="","",C480-D480)</f>
        <v/>
      </c>
      <c r="F480" s="3">
        <f>IF(A480="","",IF(D480=0,"",_xlfn.MAXIFS(Sales!C:C,Sales!D:D,A480)))</f>
        <v/>
      </c>
      <c r="G480">
        <f>IF(A480="","",IF(F480="","",TODAY()-F480))</f>
        <v/>
      </c>
      <c r="H480">
        <f>IF(A480="","",IF(E480&lt;=0,"Out of stock",IF(E480&lt;=5,"Low stock",IF(AND(G480&lt;&gt;"",G480&gt;=30),"Slow moving","OK"))))</f>
        <v/>
      </c>
    </row>
    <row r="481">
      <c r="A481">
        <f>IF(Products!A481="","",Products!A481)</f>
        <v/>
      </c>
      <c r="B481">
        <f>IF(A481="","",Products!C481)</f>
        <v/>
      </c>
      <c r="C481">
        <f>IF(A481="","",SUMIFS(Lots!F:F,Lots!B:B,A481))</f>
        <v/>
      </c>
      <c r="D481">
        <f>IF(A481="","",SUMIFS(Sales!F:F,Sales!D:D,A481))</f>
        <v/>
      </c>
      <c r="E481">
        <f>IF(A481="","",C481-D481)</f>
        <v/>
      </c>
      <c r="F481" s="3">
        <f>IF(A481="","",IF(D481=0,"",_xlfn.MAXIFS(Sales!C:C,Sales!D:D,A481)))</f>
        <v/>
      </c>
      <c r="G481">
        <f>IF(A481="","",IF(F481="","",TODAY()-F481))</f>
        <v/>
      </c>
      <c r="H481">
        <f>IF(A481="","",IF(E481&lt;=0,"Out of stock",IF(E481&lt;=5,"Low stock",IF(AND(G481&lt;&gt;"",G481&gt;=30),"Slow moving","OK"))))</f>
        <v/>
      </c>
    </row>
    <row r="482">
      <c r="A482">
        <f>IF(Products!A482="","",Products!A482)</f>
        <v/>
      </c>
      <c r="B482">
        <f>IF(A482="","",Products!C482)</f>
        <v/>
      </c>
      <c r="C482">
        <f>IF(A482="","",SUMIFS(Lots!F:F,Lots!B:B,A482))</f>
        <v/>
      </c>
      <c r="D482">
        <f>IF(A482="","",SUMIFS(Sales!F:F,Sales!D:D,A482))</f>
        <v/>
      </c>
      <c r="E482">
        <f>IF(A482="","",C482-D482)</f>
        <v/>
      </c>
      <c r="F482" s="3">
        <f>IF(A482="","",IF(D482=0,"",_xlfn.MAXIFS(Sales!C:C,Sales!D:D,A482)))</f>
        <v/>
      </c>
      <c r="G482">
        <f>IF(A482="","",IF(F482="","",TODAY()-F482))</f>
        <v/>
      </c>
      <c r="H482">
        <f>IF(A482="","",IF(E482&lt;=0,"Out of stock",IF(E482&lt;=5,"Low stock",IF(AND(G482&lt;&gt;"",G482&gt;=30),"Slow moving","OK"))))</f>
        <v/>
      </c>
    </row>
    <row r="483">
      <c r="A483">
        <f>IF(Products!A483="","",Products!A483)</f>
        <v/>
      </c>
      <c r="B483">
        <f>IF(A483="","",Products!C483)</f>
        <v/>
      </c>
      <c r="C483">
        <f>IF(A483="","",SUMIFS(Lots!F:F,Lots!B:B,A483))</f>
        <v/>
      </c>
      <c r="D483">
        <f>IF(A483="","",SUMIFS(Sales!F:F,Sales!D:D,A483))</f>
        <v/>
      </c>
      <c r="E483">
        <f>IF(A483="","",C483-D483)</f>
        <v/>
      </c>
      <c r="F483" s="3">
        <f>IF(A483="","",IF(D483=0,"",_xlfn.MAXIFS(Sales!C:C,Sales!D:D,A483)))</f>
        <v/>
      </c>
      <c r="G483">
        <f>IF(A483="","",IF(F483="","",TODAY()-F483))</f>
        <v/>
      </c>
      <c r="H483">
        <f>IF(A483="","",IF(E483&lt;=0,"Out of stock",IF(E483&lt;=5,"Low stock",IF(AND(G483&lt;&gt;"",G483&gt;=30),"Slow moving","OK"))))</f>
        <v/>
      </c>
    </row>
    <row r="484">
      <c r="A484">
        <f>IF(Products!A484="","",Products!A484)</f>
        <v/>
      </c>
      <c r="B484">
        <f>IF(A484="","",Products!C484)</f>
        <v/>
      </c>
      <c r="C484">
        <f>IF(A484="","",SUMIFS(Lots!F:F,Lots!B:B,A484))</f>
        <v/>
      </c>
      <c r="D484">
        <f>IF(A484="","",SUMIFS(Sales!F:F,Sales!D:D,A484))</f>
        <v/>
      </c>
      <c r="E484">
        <f>IF(A484="","",C484-D484)</f>
        <v/>
      </c>
      <c r="F484" s="3">
        <f>IF(A484="","",IF(D484=0,"",_xlfn.MAXIFS(Sales!C:C,Sales!D:D,A484)))</f>
        <v/>
      </c>
      <c r="G484">
        <f>IF(A484="","",IF(F484="","",TODAY()-F484))</f>
        <v/>
      </c>
      <c r="H484">
        <f>IF(A484="","",IF(E484&lt;=0,"Out of stock",IF(E484&lt;=5,"Low stock",IF(AND(G484&lt;&gt;"",G484&gt;=30),"Slow moving","OK"))))</f>
        <v/>
      </c>
    </row>
    <row r="485">
      <c r="A485">
        <f>IF(Products!A485="","",Products!A485)</f>
        <v/>
      </c>
      <c r="B485">
        <f>IF(A485="","",Products!C485)</f>
        <v/>
      </c>
      <c r="C485">
        <f>IF(A485="","",SUMIFS(Lots!F:F,Lots!B:B,A485))</f>
        <v/>
      </c>
      <c r="D485">
        <f>IF(A485="","",SUMIFS(Sales!F:F,Sales!D:D,A485))</f>
        <v/>
      </c>
      <c r="E485">
        <f>IF(A485="","",C485-D485)</f>
        <v/>
      </c>
      <c r="F485" s="3">
        <f>IF(A485="","",IF(D485=0,"",_xlfn.MAXIFS(Sales!C:C,Sales!D:D,A485)))</f>
        <v/>
      </c>
      <c r="G485">
        <f>IF(A485="","",IF(F485="","",TODAY()-F485))</f>
        <v/>
      </c>
      <c r="H485">
        <f>IF(A485="","",IF(E485&lt;=0,"Out of stock",IF(E485&lt;=5,"Low stock",IF(AND(G485&lt;&gt;"",G485&gt;=30),"Slow moving","OK"))))</f>
        <v/>
      </c>
    </row>
    <row r="486">
      <c r="A486">
        <f>IF(Products!A486="","",Products!A486)</f>
        <v/>
      </c>
      <c r="B486">
        <f>IF(A486="","",Products!C486)</f>
        <v/>
      </c>
      <c r="C486">
        <f>IF(A486="","",SUMIFS(Lots!F:F,Lots!B:B,A486))</f>
        <v/>
      </c>
      <c r="D486">
        <f>IF(A486="","",SUMIFS(Sales!F:F,Sales!D:D,A486))</f>
        <v/>
      </c>
      <c r="E486">
        <f>IF(A486="","",C486-D486)</f>
        <v/>
      </c>
      <c r="F486" s="3">
        <f>IF(A486="","",IF(D486=0,"",_xlfn.MAXIFS(Sales!C:C,Sales!D:D,A486)))</f>
        <v/>
      </c>
      <c r="G486">
        <f>IF(A486="","",IF(F486="","",TODAY()-F486))</f>
        <v/>
      </c>
      <c r="H486">
        <f>IF(A486="","",IF(E486&lt;=0,"Out of stock",IF(E486&lt;=5,"Low stock",IF(AND(G486&lt;&gt;"",G486&gt;=30),"Slow moving","OK"))))</f>
        <v/>
      </c>
    </row>
    <row r="487">
      <c r="A487">
        <f>IF(Products!A487="","",Products!A487)</f>
        <v/>
      </c>
      <c r="B487">
        <f>IF(A487="","",Products!C487)</f>
        <v/>
      </c>
      <c r="C487">
        <f>IF(A487="","",SUMIFS(Lots!F:F,Lots!B:B,A487))</f>
        <v/>
      </c>
      <c r="D487">
        <f>IF(A487="","",SUMIFS(Sales!F:F,Sales!D:D,A487))</f>
        <v/>
      </c>
      <c r="E487">
        <f>IF(A487="","",C487-D487)</f>
        <v/>
      </c>
      <c r="F487" s="3">
        <f>IF(A487="","",IF(D487=0,"",_xlfn.MAXIFS(Sales!C:C,Sales!D:D,A487)))</f>
        <v/>
      </c>
      <c r="G487">
        <f>IF(A487="","",IF(F487="","",TODAY()-F487))</f>
        <v/>
      </c>
      <c r="H487">
        <f>IF(A487="","",IF(E487&lt;=0,"Out of stock",IF(E487&lt;=5,"Low stock",IF(AND(G487&lt;&gt;"",G487&gt;=30),"Slow moving","OK"))))</f>
        <v/>
      </c>
    </row>
    <row r="488">
      <c r="A488">
        <f>IF(Products!A488="","",Products!A488)</f>
        <v/>
      </c>
      <c r="B488">
        <f>IF(A488="","",Products!C488)</f>
        <v/>
      </c>
      <c r="C488">
        <f>IF(A488="","",SUMIFS(Lots!F:F,Lots!B:B,A488))</f>
        <v/>
      </c>
      <c r="D488">
        <f>IF(A488="","",SUMIFS(Sales!F:F,Sales!D:D,A488))</f>
        <v/>
      </c>
      <c r="E488">
        <f>IF(A488="","",C488-D488)</f>
        <v/>
      </c>
      <c r="F488" s="3">
        <f>IF(A488="","",IF(D488=0,"",_xlfn.MAXIFS(Sales!C:C,Sales!D:D,A488)))</f>
        <v/>
      </c>
      <c r="G488">
        <f>IF(A488="","",IF(F488="","",TODAY()-F488))</f>
        <v/>
      </c>
      <c r="H488">
        <f>IF(A488="","",IF(E488&lt;=0,"Out of stock",IF(E488&lt;=5,"Low stock",IF(AND(G488&lt;&gt;"",G488&gt;=30),"Slow moving","OK"))))</f>
        <v/>
      </c>
    </row>
    <row r="489">
      <c r="A489">
        <f>IF(Products!A489="","",Products!A489)</f>
        <v/>
      </c>
      <c r="B489">
        <f>IF(A489="","",Products!C489)</f>
        <v/>
      </c>
      <c r="C489">
        <f>IF(A489="","",SUMIFS(Lots!F:F,Lots!B:B,A489))</f>
        <v/>
      </c>
      <c r="D489">
        <f>IF(A489="","",SUMIFS(Sales!F:F,Sales!D:D,A489))</f>
        <v/>
      </c>
      <c r="E489">
        <f>IF(A489="","",C489-D489)</f>
        <v/>
      </c>
      <c r="F489" s="3">
        <f>IF(A489="","",IF(D489=0,"",_xlfn.MAXIFS(Sales!C:C,Sales!D:D,A489)))</f>
        <v/>
      </c>
      <c r="G489">
        <f>IF(A489="","",IF(F489="","",TODAY()-F489))</f>
        <v/>
      </c>
      <c r="H489">
        <f>IF(A489="","",IF(E489&lt;=0,"Out of stock",IF(E489&lt;=5,"Low stock",IF(AND(G489&lt;&gt;"",G489&gt;=30),"Slow moving","OK"))))</f>
        <v/>
      </c>
    </row>
    <row r="490">
      <c r="A490">
        <f>IF(Products!A490="","",Products!A490)</f>
        <v/>
      </c>
      <c r="B490">
        <f>IF(A490="","",Products!C490)</f>
        <v/>
      </c>
      <c r="C490">
        <f>IF(A490="","",SUMIFS(Lots!F:F,Lots!B:B,A490))</f>
        <v/>
      </c>
      <c r="D490">
        <f>IF(A490="","",SUMIFS(Sales!F:F,Sales!D:D,A490))</f>
        <v/>
      </c>
      <c r="E490">
        <f>IF(A490="","",C490-D490)</f>
        <v/>
      </c>
      <c r="F490" s="3">
        <f>IF(A490="","",IF(D490=0,"",_xlfn.MAXIFS(Sales!C:C,Sales!D:D,A490)))</f>
        <v/>
      </c>
      <c r="G490">
        <f>IF(A490="","",IF(F490="","",TODAY()-F490))</f>
        <v/>
      </c>
      <c r="H490">
        <f>IF(A490="","",IF(E490&lt;=0,"Out of stock",IF(E490&lt;=5,"Low stock",IF(AND(G490&lt;&gt;"",G490&gt;=30),"Slow moving","OK"))))</f>
        <v/>
      </c>
    </row>
    <row r="491">
      <c r="A491">
        <f>IF(Products!A491="","",Products!A491)</f>
        <v/>
      </c>
      <c r="B491">
        <f>IF(A491="","",Products!C491)</f>
        <v/>
      </c>
      <c r="C491">
        <f>IF(A491="","",SUMIFS(Lots!F:F,Lots!B:B,A491))</f>
        <v/>
      </c>
      <c r="D491">
        <f>IF(A491="","",SUMIFS(Sales!F:F,Sales!D:D,A491))</f>
        <v/>
      </c>
      <c r="E491">
        <f>IF(A491="","",C491-D491)</f>
        <v/>
      </c>
      <c r="F491" s="3">
        <f>IF(A491="","",IF(D491=0,"",_xlfn.MAXIFS(Sales!C:C,Sales!D:D,A491)))</f>
        <v/>
      </c>
      <c r="G491">
        <f>IF(A491="","",IF(F491="","",TODAY()-F491))</f>
        <v/>
      </c>
      <c r="H491">
        <f>IF(A491="","",IF(E491&lt;=0,"Out of stock",IF(E491&lt;=5,"Low stock",IF(AND(G491&lt;&gt;"",G491&gt;=30),"Slow moving","OK"))))</f>
        <v/>
      </c>
    </row>
    <row r="492">
      <c r="A492">
        <f>IF(Products!A492="","",Products!A492)</f>
        <v/>
      </c>
      <c r="B492">
        <f>IF(A492="","",Products!C492)</f>
        <v/>
      </c>
      <c r="C492">
        <f>IF(A492="","",SUMIFS(Lots!F:F,Lots!B:B,A492))</f>
        <v/>
      </c>
      <c r="D492">
        <f>IF(A492="","",SUMIFS(Sales!F:F,Sales!D:D,A492))</f>
        <v/>
      </c>
      <c r="E492">
        <f>IF(A492="","",C492-D492)</f>
        <v/>
      </c>
      <c r="F492" s="3">
        <f>IF(A492="","",IF(D492=0,"",_xlfn.MAXIFS(Sales!C:C,Sales!D:D,A492)))</f>
        <v/>
      </c>
      <c r="G492">
        <f>IF(A492="","",IF(F492="","",TODAY()-F492))</f>
        <v/>
      </c>
      <c r="H492">
        <f>IF(A492="","",IF(E492&lt;=0,"Out of stock",IF(E492&lt;=5,"Low stock",IF(AND(G492&lt;&gt;"",G492&gt;=30),"Slow moving","OK"))))</f>
        <v/>
      </c>
    </row>
    <row r="493">
      <c r="A493">
        <f>IF(Products!A493="","",Products!A493)</f>
        <v/>
      </c>
      <c r="B493">
        <f>IF(A493="","",Products!C493)</f>
        <v/>
      </c>
      <c r="C493">
        <f>IF(A493="","",SUMIFS(Lots!F:F,Lots!B:B,A493))</f>
        <v/>
      </c>
      <c r="D493">
        <f>IF(A493="","",SUMIFS(Sales!F:F,Sales!D:D,A493))</f>
        <v/>
      </c>
      <c r="E493">
        <f>IF(A493="","",C493-D493)</f>
        <v/>
      </c>
      <c r="F493" s="3">
        <f>IF(A493="","",IF(D493=0,"",_xlfn.MAXIFS(Sales!C:C,Sales!D:D,A493)))</f>
        <v/>
      </c>
      <c r="G493">
        <f>IF(A493="","",IF(F493="","",TODAY()-F493))</f>
        <v/>
      </c>
      <c r="H493">
        <f>IF(A493="","",IF(E493&lt;=0,"Out of stock",IF(E493&lt;=5,"Low stock",IF(AND(G493&lt;&gt;"",G493&gt;=30),"Slow moving","OK"))))</f>
        <v/>
      </c>
    </row>
    <row r="494">
      <c r="A494">
        <f>IF(Products!A494="","",Products!A494)</f>
        <v/>
      </c>
      <c r="B494">
        <f>IF(A494="","",Products!C494)</f>
        <v/>
      </c>
      <c r="C494">
        <f>IF(A494="","",SUMIFS(Lots!F:F,Lots!B:B,A494))</f>
        <v/>
      </c>
      <c r="D494">
        <f>IF(A494="","",SUMIFS(Sales!F:F,Sales!D:D,A494))</f>
        <v/>
      </c>
      <c r="E494">
        <f>IF(A494="","",C494-D494)</f>
        <v/>
      </c>
      <c r="F494" s="3">
        <f>IF(A494="","",IF(D494=0,"",_xlfn.MAXIFS(Sales!C:C,Sales!D:D,A494)))</f>
        <v/>
      </c>
      <c r="G494">
        <f>IF(A494="","",IF(F494="","",TODAY()-F494))</f>
        <v/>
      </c>
      <c r="H494">
        <f>IF(A494="","",IF(E494&lt;=0,"Out of stock",IF(E494&lt;=5,"Low stock",IF(AND(G494&lt;&gt;"",G494&gt;=30),"Slow moving","OK"))))</f>
        <v/>
      </c>
    </row>
    <row r="495">
      <c r="A495">
        <f>IF(Products!A495="","",Products!A495)</f>
        <v/>
      </c>
      <c r="B495">
        <f>IF(A495="","",Products!C495)</f>
        <v/>
      </c>
      <c r="C495">
        <f>IF(A495="","",SUMIFS(Lots!F:F,Lots!B:B,A495))</f>
        <v/>
      </c>
      <c r="D495">
        <f>IF(A495="","",SUMIFS(Sales!F:F,Sales!D:D,A495))</f>
        <v/>
      </c>
      <c r="E495">
        <f>IF(A495="","",C495-D495)</f>
        <v/>
      </c>
      <c r="F495" s="3">
        <f>IF(A495="","",IF(D495=0,"",_xlfn.MAXIFS(Sales!C:C,Sales!D:D,A495)))</f>
        <v/>
      </c>
      <c r="G495">
        <f>IF(A495="","",IF(F495="","",TODAY()-F495))</f>
        <v/>
      </c>
      <c r="H495">
        <f>IF(A495="","",IF(E495&lt;=0,"Out of stock",IF(E495&lt;=5,"Low stock",IF(AND(G495&lt;&gt;"",G495&gt;=30),"Slow moving","OK"))))</f>
        <v/>
      </c>
    </row>
    <row r="496">
      <c r="A496">
        <f>IF(Products!A496="","",Products!A496)</f>
        <v/>
      </c>
      <c r="B496">
        <f>IF(A496="","",Products!C496)</f>
        <v/>
      </c>
      <c r="C496">
        <f>IF(A496="","",SUMIFS(Lots!F:F,Lots!B:B,A496))</f>
        <v/>
      </c>
      <c r="D496">
        <f>IF(A496="","",SUMIFS(Sales!F:F,Sales!D:D,A496))</f>
        <v/>
      </c>
      <c r="E496">
        <f>IF(A496="","",C496-D496)</f>
        <v/>
      </c>
      <c r="F496" s="3">
        <f>IF(A496="","",IF(D496=0,"",_xlfn.MAXIFS(Sales!C:C,Sales!D:D,A496)))</f>
        <v/>
      </c>
      <c r="G496">
        <f>IF(A496="","",IF(F496="","",TODAY()-F496))</f>
        <v/>
      </c>
      <c r="H496">
        <f>IF(A496="","",IF(E496&lt;=0,"Out of stock",IF(E496&lt;=5,"Low stock",IF(AND(G496&lt;&gt;"",G496&gt;=30),"Slow moving","OK"))))</f>
        <v/>
      </c>
    </row>
    <row r="497">
      <c r="A497">
        <f>IF(Products!A497="","",Products!A497)</f>
        <v/>
      </c>
      <c r="B497">
        <f>IF(A497="","",Products!C497)</f>
        <v/>
      </c>
      <c r="C497">
        <f>IF(A497="","",SUMIFS(Lots!F:F,Lots!B:B,A497))</f>
        <v/>
      </c>
      <c r="D497">
        <f>IF(A497="","",SUMIFS(Sales!F:F,Sales!D:D,A497))</f>
        <v/>
      </c>
      <c r="E497">
        <f>IF(A497="","",C497-D497)</f>
        <v/>
      </c>
      <c r="F497" s="3">
        <f>IF(A497="","",IF(D497=0,"",_xlfn.MAXIFS(Sales!C:C,Sales!D:D,A497)))</f>
        <v/>
      </c>
      <c r="G497">
        <f>IF(A497="","",IF(F497="","",TODAY()-F497))</f>
        <v/>
      </c>
      <c r="H497">
        <f>IF(A497="","",IF(E497&lt;=0,"Out of stock",IF(E497&lt;=5,"Low stock",IF(AND(G497&lt;&gt;"",G497&gt;=30),"Slow moving","OK"))))</f>
        <v/>
      </c>
    </row>
    <row r="498">
      <c r="A498">
        <f>IF(Products!A498="","",Products!A498)</f>
        <v/>
      </c>
      <c r="B498">
        <f>IF(A498="","",Products!C498)</f>
        <v/>
      </c>
      <c r="C498">
        <f>IF(A498="","",SUMIFS(Lots!F:F,Lots!B:B,A498))</f>
        <v/>
      </c>
      <c r="D498">
        <f>IF(A498="","",SUMIFS(Sales!F:F,Sales!D:D,A498))</f>
        <v/>
      </c>
      <c r="E498">
        <f>IF(A498="","",C498-D498)</f>
        <v/>
      </c>
      <c r="F498" s="3">
        <f>IF(A498="","",IF(D498=0,"",_xlfn.MAXIFS(Sales!C:C,Sales!D:D,A498)))</f>
        <v/>
      </c>
      <c r="G498">
        <f>IF(A498="","",IF(F498="","",TODAY()-F498))</f>
        <v/>
      </c>
      <c r="H498">
        <f>IF(A498="","",IF(E498&lt;=0,"Out of stock",IF(E498&lt;=5,"Low stock",IF(AND(G498&lt;&gt;"",G498&gt;=30),"Slow moving","OK"))))</f>
        <v/>
      </c>
    </row>
    <row r="499">
      <c r="A499">
        <f>IF(Products!A499="","",Products!A499)</f>
        <v/>
      </c>
      <c r="B499">
        <f>IF(A499="","",Products!C499)</f>
        <v/>
      </c>
      <c r="C499">
        <f>IF(A499="","",SUMIFS(Lots!F:F,Lots!B:B,A499))</f>
        <v/>
      </c>
      <c r="D499">
        <f>IF(A499="","",SUMIFS(Sales!F:F,Sales!D:D,A499))</f>
        <v/>
      </c>
      <c r="E499">
        <f>IF(A499="","",C499-D499)</f>
        <v/>
      </c>
      <c r="F499" s="3">
        <f>IF(A499="","",IF(D499=0,"",_xlfn.MAXIFS(Sales!C:C,Sales!D:D,A499)))</f>
        <v/>
      </c>
      <c r="G499">
        <f>IF(A499="","",IF(F499="","",TODAY()-F499))</f>
        <v/>
      </c>
      <c r="H499">
        <f>IF(A499="","",IF(E499&lt;=0,"Out of stock",IF(E499&lt;=5,"Low stock",IF(AND(G499&lt;&gt;"",G499&gt;=30),"Slow moving","OK"))))</f>
        <v/>
      </c>
    </row>
    <row r="500">
      <c r="A500">
        <f>IF(Products!A500="","",Products!A500)</f>
        <v/>
      </c>
      <c r="B500">
        <f>IF(A500="","",Products!C500)</f>
        <v/>
      </c>
      <c r="C500">
        <f>IF(A500="","",SUMIFS(Lots!F:F,Lots!B:B,A500))</f>
        <v/>
      </c>
      <c r="D500">
        <f>IF(A500="","",SUMIFS(Sales!F:F,Sales!D:D,A500))</f>
        <v/>
      </c>
      <c r="E500">
        <f>IF(A500="","",C500-D500)</f>
        <v/>
      </c>
      <c r="F500" s="3">
        <f>IF(A500="","",IF(D500=0,"",_xlfn.MAXIFS(Sales!C:C,Sales!D:D,A500)))</f>
        <v/>
      </c>
      <c r="G500">
        <f>IF(A500="","",IF(F500="","",TODAY()-F500))</f>
        <v/>
      </c>
      <c r="H500">
        <f>IF(A500="","",IF(E500&lt;=0,"Out of stock",IF(E500&lt;=5,"Low stock",IF(AND(G500&lt;&gt;"",G500&gt;=30),"Slow moving","OK"))))</f>
        <v/>
      </c>
    </row>
    <row r="501">
      <c r="A501">
        <f>IF(Products!A501="","",Products!A501)</f>
        <v/>
      </c>
      <c r="B501">
        <f>IF(A501="","",Products!C501)</f>
        <v/>
      </c>
      <c r="C501">
        <f>IF(A501="","",SUMIFS(Lots!F:F,Lots!B:B,A501))</f>
        <v/>
      </c>
      <c r="D501">
        <f>IF(A501="","",SUMIFS(Sales!F:F,Sales!D:D,A501))</f>
        <v/>
      </c>
      <c r="E501">
        <f>IF(A501="","",C501-D501)</f>
        <v/>
      </c>
      <c r="F501" s="3">
        <f>IF(A501="","",IF(D501=0,"",_xlfn.MAXIFS(Sales!C:C,Sales!D:D,A501)))</f>
        <v/>
      </c>
      <c r="G501">
        <f>IF(A501="","",IF(F501="","",TODAY()-F501))</f>
        <v/>
      </c>
      <c r="H501">
        <f>IF(A501="","",IF(E501&lt;=0,"Out of stock",IF(E501&lt;=5,"Low stock",IF(AND(G501&lt;&gt;"",G501&gt;=30),"Slow moving","OK"))))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2026-10-25T06:01:41Z</dcterms:created>
  <dcterms:modified xmlns:dcterms="http://purl.org/dc/terms/" xmlns:xsi="http://www.w3.org/2001/XMLSchema-instance" xsi:type="dcterms:W3CDTF">2026-10-25T06:01:41Z</dcterms:modified>
</cp:coreProperties>
</file>